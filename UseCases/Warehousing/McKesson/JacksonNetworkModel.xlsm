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proct\Dropbox\Research\Github\NetworkGeneration\UseCases\Warehousing\McKesson\"/>
    </mc:Choice>
  </mc:AlternateContent>
  <bookViews>
    <workbookView xWindow="0" yWindow="0" windowWidth="5916" windowHeight="1536" activeTab="1"/>
  </bookViews>
  <sheets>
    <sheet name="Complex Version" sheetId="3" r:id="rId1"/>
    <sheet name="Simple Version" sheetId="1" r:id="rId2"/>
    <sheet name="Results" sheetId="4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" l="1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" i="3"/>
  <c r="E7" i="1"/>
  <c r="R20" i="1" l="1"/>
  <c r="R14" i="1"/>
  <c r="P14" i="1"/>
  <c r="N14" i="1"/>
  <c r="E9" i="1"/>
  <c r="R21" i="1" s="1"/>
  <c r="E8" i="1"/>
  <c r="R15" i="1" s="1"/>
  <c r="P15" i="1"/>
  <c r="E6" i="1"/>
  <c r="N15" i="1" s="1"/>
  <c r="M119" i="3" l="1"/>
  <c r="M116" i="3"/>
  <c r="M113" i="3"/>
  <c r="M107" i="3"/>
  <c r="M103" i="3"/>
  <c r="M100" i="3"/>
  <c r="M94" i="3"/>
  <c r="M91" i="3"/>
  <c r="M88" i="3"/>
  <c r="O110" i="3"/>
  <c r="O101" i="3"/>
  <c r="O93" i="3"/>
  <c r="L119" i="3"/>
  <c r="L101" i="3"/>
  <c r="L82" i="3"/>
  <c r="F78" i="3" a="1"/>
  <c r="F85" i="3" s="1"/>
  <c r="D105" i="3"/>
  <c r="D90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78" i="3"/>
  <c r="C105" i="3"/>
  <c r="C90" i="3"/>
  <c r="B104" i="3"/>
  <c r="B96" i="3"/>
  <c r="BZ4" i="3"/>
  <c r="BZ5" i="3"/>
  <c r="BZ6" i="3"/>
  <c r="BZ7" i="3"/>
  <c r="BZ8" i="3"/>
  <c r="BZ9" i="3"/>
  <c r="BZ10" i="3"/>
  <c r="BZ11" i="3"/>
  <c r="BZ12" i="3"/>
  <c r="BZ13" i="3"/>
  <c r="BZ14" i="3"/>
  <c r="BZ15" i="3"/>
  <c r="BZ16" i="3"/>
  <c r="E7" i="3"/>
  <c r="C91" i="3" s="1"/>
  <c r="E8" i="3"/>
  <c r="E9" i="3"/>
  <c r="E10" i="3"/>
  <c r="E11" i="3"/>
  <c r="I78" i="3" s="1"/>
  <c r="E12" i="3"/>
  <c r="I79" i="3" s="1"/>
  <c r="E13" i="3"/>
  <c r="I80" i="3" s="1"/>
  <c r="E14" i="3"/>
  <c r="I81" i="3" s="1"/>
  <c r="E15" i="3"/>
  <c r="I82" i="3" s="1"/>
  <c r="E16" i="3"/>
  <c r="I83" i="3" s="1"/>
  <c r="E17" i="3"/>
  <c r="I84" i="3" s="1"/>
  <c r="E18" i="3"/>
  <c r="I85" i="3" s="1"/>
  <c r="E19" i="3"/>
  <c r="I86" i="3" s="1"/>
  <c r="E20" i="3"/>
  <c r="I87" i="3" s="1"/>
  <c r="E21" i="3"/>
  <c r="I88" i="3" s="1"/>
  <c r="E22" i="3"/>
  <c r="I89" i="3" s="1"/>
  <c r="E23" i="3"/>
  <c r="I90" i="3" s="1"/>
  <c r="E24" i="3"/>
  <c r="I91" i="3" s="1"/>
  <c r="E25" i="3"/>
  <c r="I92" i="3" s="1"/>
  <c r="E26" i="3"/>
  <c r="I93" i="3" s="1"/>
  <c r="E27" i="3"/>
  <c r="I94" i="3" s="1"/>
  <c r="E28" i="3"/>
  <c r="I95" i="3" s="1"/>
  <c r="E29" i="3"/>
  <c r="I96" i="3" s="1"/>
  <c r="E30" i="3"/>
  <c r="I97" i="3" s="1"/>
  <c r="E31" i="3"/>
  <c r="I98" i="3" s="1"/>
  <c r="E32" i="3"/>
  <c r="I99" i="3" s="1"/>
  <c r="E33" i="3"/>
  <c r="I100" i="3" s="1"/>
  <c r="E34" i="3"/>
  <c r="I101" i="3" s="1"/>
  <c r="E35" i="3"/>
  <c r="I102" i="3" s="1"/>
  <c r="E36" i="3"/>
  <c r="I103" i="3" s="1"/>
  <c r="E37" i="3"/>
  <c r="I104" i="3" s="1"/>
  <c r="E38" i="3"/>
  <c r="I105" i="3" s="1"/>
  <c r="E39" i="3"/>
  <c r="I106" i="3" s="1"/>
  <c r="E40" i="3"/>
  <c r="I107" i="3" s="1"/>
  <c r="E41" i="3"/>
  <c r="I108" i="3" s="1"/>
  <c r="E42" i="3"/>
  <c r="I109" i="3" s="1"/>
  <c r="E43" i="3"/>
  <c r="I110" i="3" s="1"/>
  <c r="E44" i="3"/>
  <c r="I111" i="3" s="1"/>
  <c r="E45" i="3"/>
  <c r="I112" i="3" s="1"/>
  <c r="E46" i="3"/>
  <c r="I113" i="3" s="1"/>
  <c r="E47" i="3"/>
  <c r="I114" i="3" s="1"/>
  <c r="E48" i="3"/>
  <c r="I115" i="3" s="1"/>
  <c r="E49" i="3"/>
  <c r="I116" i="3" s="1"/>
  <c r="E50" i="3"/>
  <c r="I117" i="3" s="1"/>
  <c r="E51" i="3"/>
  <c r="I118" i="3" s="1"/>
  <c r="E52" i="3"/>
  <c r="I119" i="3" s="1"/>
  <c r="E53" i="3"/>
  <c r="I120" i="3" s="1"/>
  <c r="E54" i="3"/>
  <c r="I121" i="3" s="1"/>
  <c r="E55" i="3"/>
  <c r="I122" i="3" s="1"/>
  <c r="E56" i="3"/>
  <c r="I123" i="3" s="1"/>
  <c r="E57" i="3"/>
  <c r="I124" i="3" s="1"/>
  <c r="E58" i="3"/>
  <c r="I125" i="3" s="1"/>
  <c r="E59" i="3"/>
  <c r="I126" i="3" s="1"/>
  <c r="E60" i="3"/>
  <c r="I127" i="3" s="1"/>
  <c r="E61" i="3"/>
  <c r="I128" i="3" s="1"/>
  <c r="E62" i="3"/>
  <c r="I129" i="3" s="1"/>
  <c r="E63" i="3"/>
  <c r="I130" i="3" s="1"/>
  <c r="E64" i="3"/>
  <c r="I131" i="3" s="1"/>
  <c r="E65" i="3"/>
  <c r="L83" i="3" s="1"/>
  <c r="E66" i="3"/>
  <c r="L102" i="3" s="1"/>
  <c r="E67" i="3"/>
  <c r="L120" i="3" s="1"/>
  <c r="E68" i="3"/>
  <c r="O94" i="3" s="1"/>
  <c r="E69" i="3"/>
  <c r="O102" i="3" s="1"/>
  <c r="E70" i="3"/>
  <c r="O111" i="3" s="1"/>
  <c r="C106" i="3" l="1"/>
  <c r="F124" i="3"/>
  <c r="F116" i="3"/>
  <c r="F108" i="3"/>
  <c r="F100" i="3"/>
  <c r="F92" i="3"/>
  <c r="F84" i="3"/>
  <c r="F131" i="3"/>
  <c r="F123" i="3"/>
  <c r="F115" i="3"/>
  <c r="F107" i="3"/>
  <c r="F99" i="3"/>
  <c r="F91" i="3"/>
  <c r="F83" i="3"/>
  <c r="F130" i="3"/>
  <c r="F122" i="3"/>
  <c r="F114" i="3"/>
  <c r="F106" i="3"/>
  <c r="F98" i="3"/>
  <c r="F90" i="3"/>
  <c r="F82" i="3"/>
  <c r="F129" i="3"/>
  <c r="F121" i="3"/>
  <c r="F113" i="3"/>
  <c r="F105" i="3"/>
  <c r="F97" i="3"/>
  <c r="F89" i="3"/>
  <c r="F81" i="3"/>
  <c r="F128" i="3"/>
  <c r="F112" i="3"/>
  <c r="F96" i="3"/>
  <c r="F80" i="3"/>
  <c r="F127" i="3"/>
  <c r="F111" i="3"/>
  <c r="F95" i="3"/>
  <c r="F79" i="3"/>
  <c r="F126" i="3"/>
  <c r="F118" i="3"/>
  <c r="F110" i="3"/>
  <c r="F102" i="3"/>
  <c r="F94" i="3"/>
  <c r="F86" i="3"/>
  <c r="F78" i="3"/>
  <c r="F120" i="3"/>
  <c r="F104" i="3"/>
  <c r="F88" i="3"/>
  <c r="F119" i="3"/>
  <c r="F103" i="3"/>
  <c r="F87" i="3"/>
  <c r="F125" i="3"/>
  <c r="F117" i="3"/>
  <c r="F109" i="3"/>
  <c r="F101" i="3"/>
  <c r="F93" i="3"/>
  <c r="BZ67" i="3" l="1"/>
  <c r="BZ66" i="3"/>
  <c r="BZ65" i="3"/>
  <c r="BZ64" i="3"/>
  <c r="BZ63" i="3"/>
  <c r="BZ62" i="3"/>
  <c r="BZ61" i="3"/>
  <c r="BZ60" i="3"/>
  <c r="BZ59" i="3"/>
  <c r="BZ58" i="3"/>
  <c r="BZ57" i="3"/>
  <c r="BZ56" i="3"/>
  <c r="BZ55" i="3"/>
  <c r="BZ54" i="3"/>
  <c r="BZ53" i="3"/>
  <c r="BZ52" i="3"/>
  <c r="BZ51" i="3"/>
  <c r="BZ50" i="3"/>
  <c r="BZ49" i="3"/>
  <c r="BZ48" i="3"/>
  <c r="BZ47" i="3"/>
  <c r="BZ46" i="3"/>
  <c r="BZ45" i="3"/>
  <c r="BZ44" i="3"/>
  <c r="BZ43" i="3"/>
  <c r="BZ42" i="3"/>
  <c r="BZ41" i="3"/>
  <c r="BZ40" i="3"/>
  <c r="BZ39" i="3"/>
  <c r="BZ38" i="3"/>
  <c r="BZ37" i="3"/>
  <c r="BZ36" i="3"/>
  <c r="BZ35" i="3"/>
  <c r="BZ34" i="3"/>
  <c r="BZ33" i="3"/>
  <c r="BZ32" i="3"/>
  <c r="BZ31" i="3"/>
  <c r="BZ30" i="3"/>
  <c r="BZ29" i="3"/>
  <c r="BZ28" i="3"/>
  <c r="BZ27" i="3"/>
  <c r="BZ26" i="3"/>
  <c r="BZ25" i="3"/>
  <c r="BZ24" i="3"/>
  <c r="BZ23" i="3"/>
  <c r="BZ22" i="3"/>
  <c r="BZ21" i="3"/>
  <c r="BZ20" i="3"/>
  <c r="BZ19" i="3"/>
  <c r="BZ18" i="3"/>
  <c r="BZ17" i="3"/>
  <c r="BZ3" i="3"/>
  <c r="B3" i="3" l="1"/>
  <c r="A99" i="3" s="1"/>
  <c r="R3" i="1"/>
  <c r="B3" i="1"/>
  <c r="R4" i="1"/>
  <c r="R5" i="1"/>
  <c r="R6" i="1"/>
  <c r="R7" i="1"/>
  <c r="M16" i="1" l="1"/>
  <c r="D6" i="1"/>
  <c r="F6" i="1" s="1"/>
  <c r="D7" i="3"/>
  <c r="D8" i="3"/>
  <c r="D7" i="1" l="1"/>
  <c r="F7" i="1" s="1"/>
  <c r="I6" i="1"/>
  <c r="D10" i="3"/>
  <c r="F8" i="3"/>
  <c r="I8" i="3" s="1"/>
  <c r="H8" i="3" s="1"/>
  <c r="J8" i="3" s="1"/>
  <c r="K8" i="3" s="1"/>
  <c r="D9" i="3"/>
  <c r="F9" i="3" s="1"/>
  <c r="I9" i="3" s="1"/>
  <c r="H9" i="3" s="1"/>
  <c r="J9" i="3" s="1"/>
  <c r="K9" i="3" s="1"/>
  <c r="F7" i="3"/>
  <c r="H6" i="1" l="1"/>
  <c r="J6" i="1" s="1"/>
  <c r="K6" i="1" s="1"/>
  <c r="D9" i="1"/>
  <c r="D8" i="1"/>
  <c r="I7" i="1"/>
  <c r="I7" i="3"/>
  <c r="H7" i="3" s="1"/>
  <c r="D91" i="3"/>
  <c r="F10" i="3"/>
  <c r="I10" i="3" s="1"/>
  <c r="H10" i="3" s="1"/>
  <c r="J10" i="3" s="1"/>
  <c r="K10" i="3" s="1"/>
  <c r="D11" i="3" a="1"/>
  <c r="F8" i="1" l="1"/>
  <c r="I8" i="1" s="1"/>
  <c r="H8" i="1" s="1"/>
  <c r="J8" i="1" s="1"/>
  <c r="K8" i="1" s="1"/>
  <c r="F9" i="1"/>
  <c r="I9" i="1" s="1"/>
  <c r="H9" i="1" s="1"/>
  <c r="J9" i="1" s="1"/>
  <c r="K9" i="1" s="1"/>
  <c r="H7" i="1"/>
  <c r="J7" i="1" s="1"/>
  <c r="K7" i="1" s="1"/>
  <c r="J7" i="3"/>
  <c r="K7" i="3" s="1"/>
  <c r="D11" i="3"/>
  <c r="F11" i="3" s="1"/>
  <c r="I11" i="3" s="1"/>
  <c r="H11" i="3" s="1"/>
  <c r="J11" i="3" s="1"/>
  <c r="K11" i="3" s="1"/>
  <c r="D50" i="3"/>
  <c r="D24" i="3"/>
  <c r="F24" i="3" s="1"/>
  <c r="I24" i="3" s="1"/>
  <c r="H24" i="3" s="1"/>
  <c r="J24" i="3" s="1"/>
  <c r="K24" i="3" s="1"/>
  <c r="D38" i="3"/>
  <c r="F38" i="3" s="1"/>
  <c r="I38" i="3" s="1"/>
  <c r="H38" i="3" s="1"/>
  <c r="J38" i="3" s="1"/>
  <c r="K38" i="3" s="1"/>
  <c r="D29" i="3"/>
  <c r="F29" i="3" s="1"/>
  <c r="I29" i="3" s="1"/>
  <c r="H29" i="3" s="1"/>
  <c r="J29" i="3" s="1"/>
  <c r="K29" i="3" s="1"/>
  <c r="D20" i="3"/>
  <c r="F20" i="3" s="1"/>
  <c r="I20" i="3" s="1"/>
  <c r="H20" i="3" s="1"/>
  <c r="J20" i="3" s="1"/>
  <c r="K20" i="3" s="1"/>
  <c r="D64" i="3"/>
  <c r="F64" i="3" s="1"/>
  <c r="I64" i="3" s="1"/>
  <c r="H64" i="3" s="1"/>
  <c r="J64" i="3" s="1"/>
  <c r="K64" i="3" s="1"/>
  <c r="D51" i="3"/>
  <c r="F51" i="3" s="1"/>
  <c r="I51" i="3" s="1"/>
  <c r="H51" i="3" s="1"/>
  <c r="J51" i="3" s="1"/>
  <c r="K51" i="3" s="1"/>
  <c r="D39" i="3"/>
  <c r="F39" i="3" s="1"/>
  <c r="I39" i="3" s="1"/>
  <c r="H39" i="3" s="1"/>
  <c r="J39" i="3" s="1"/>
  <c r="K39" i="3" s="1"/>
  <c r="D13" i="3"/>
  <c r="F13" i="3" s="1"/>
  <c r="I13" i="3" s="1"/>
  <c r="H13" i="3" s="1"/>
  <c r="J13" i="3" s="1"/>
  <c r="K13" i="3" s="1"/>
  <c r="D32" i="3"/>
  <c r="F32" i="3" s="1"/>
  <c r="I32" i="3" s="1"/>
  <c r="H32" i="3" s="1"/>
  <c r="J32" i="3" s="1"/>
  <c r="K32" i="3" s="1"/>
  <c r="D36" i="3"/>
  <c r="F36" i="3" s="1"/>
  <c r="I36" i="3" s="1"/>
  <c r="H36" i="3" s="1"/>
  <c r="J36" i="3" s="1"/>
  <c r="K36" i="3" s="1"/>
  <c r="D28" i="3"/>
  <c r="F28" i="3" s="1"/>
  <c r="I28" i="3" s="1"/>
  <c r="H28" i="3" s="1"/>
  <c r="J28" i="3" s="1"/>
  <c r="K28" i="3" s="1"/>
  <c r="D34" i="3"/>
  <c r="D55" i="3"/>
  <c r="F55" i="3" s="1"/>
  <c r="I55" i="3" s="1"/>
  <c r="H55" i="3" s="1"/>
  <c r="J55" i="3" s="1"/>
  <c r="K55" i="3" s="1"/>
  <c r="D30" i="3"/>
  <c r="F30" i="3" s="1"/>
  <c r="I30" i="3" s="1"/>
  <c r="H30" i="3" s="1"/>
  <c r="J30" i="3" s="1"/>
  <c r="K30" i="3" s="1"/>
  <c r="D21" i="3"/>
  <c r="F21" i="3" s="1"/>
  <c r="I21" i="3" s="1"/>
  <c r="H21" i="3" s="1"/>
  <c r="J21" i="3" s="1"/>
  <c r="K21" i="3" s="1"/>
  <c r="D12" i="3"/>
  <c r="F12" i="3" s="1"/>
  <c r="I12" i="3" s="1"/>
  <c r="H12" i="3" s="1"/>
  <c r="J12" i="3" s="1"/>
  <c r="K12" i="3" s="1"/>
  <c r="D48" i="3"/>
  <c r="F48" i="3" s="1"/>
  <c r="I48" i="3" s="1"/>
  <c r="H48" i="3" s="1"/>
  <c r="J48" i="3" s="1"/>
  <c r="K48" i="3" s="1"/>
  <c r="D43" i="3"/>
  <c r="D26" i="3"/>
  <c r="F26" i="3" s="1"/>
  <c r="I26" i="3" s="1"/>
  <c r="H26" i="3" s="1"/>
  <c r="J26" i="3" s="1"/>
  <c r="K26" i="3" s="1"/>
  <c r="D22" i="3"/>
  <c r="D58" i="3"/>
  <c r="F58" i="3" s="1"/>
  <c r="I58" i="3" s="1"/>
  <c r="H58" i="3" s="1"/>
  <c r="J58" i="3" s="1"/>
  <c r="K58" i="3" s="1"/>
  <c r="D35" i="3"/>
  <c r="D45" i="3"/>
  <c r="F45" i="3" s="1"/>
  <c r="I45" i="3" s="1"/>
  <c r="H45" i="3" s="1"/>
  <c r="J45" i="3" s="1"/>
  <c r="K45" i="3" s="1"/>
  <c r="D37" i="3"/>
  <c r="D57" i="3"/>
  <c r="F57" i="3" s="1"/>
  <c r="I57" i="3" s="1"/>
  <c r="H57" i="3" s="1"/>
  <c r="J57" i="3" s="1"/>
  <c r="K57" i="3" s="1"/>
  <c r="D31" i="3"/>
  <c r="F31" i="3" s="1"/>
  <c r="I31" i="3" s="1"/>
  <c r="H31" i="3" s="1"/>
  <c r="J31" i="3" s="1"/>
  <c r="K31" i="3" s="1"/>
  <c r="D14" i="3"/>
  <c r="F14" i="3" s="1"/>
  <c r="I14" i="3" s="1"/>
  <c r="H14" i="3" s="1"/>
  <c r="J14" i="3" s="1"/>
  <c r="K14" i="3" s="1"/>
  <c r="D60" i="3"/>
  <c r="F60" i="3" s="1"/>
  <c r="I60" i="3" s="1"/>
  <c r="H60" i="3" s="1"/>
  <c r="J60" i="3" s="1"/>
  <c r="K60" i="3" s="1"/>
  <c r="D42" i="3"/>
  <c r="F42" i="3" s="1"/>
  <c r="I42" i="3" s="1"/>
  <c r="H42" i="3" s="1"/>
  <c r="J42" i="3" s="1"/>
  <c r="K42" i="3" s="1"/>
  <c r="D16" i="3"/>
  <c r="F16" i="3" s="1"/>
  <c r="I16" i="3" s="1"/>
  <c r="H16" i="3" s="1"/>
  <c r="J16" i="3" s="1"/>
  <c r="K16" i="3" s="1"/>
  <c r="D27" i="3"/>
  <c r="F27" i="3" s="1"/>
  <c r="I27" i="3" s="1"/>
  <c r="H27" i="3" s="1"/>
  <c r="J27" i="3" s="1"/>
  <c r="K27" i="3" s="1"/>
  <c r="D54" i="3"/>
  <c r="D46" i="3"/>
  <c r="F46" i="3" s="1"/>
  <c r="I46" i="3" s="1"/>
  <c r="H46" i="3" s="1"/>
  <c r="J46" i="3" s="1"/>
  <c r="K46" i="3" s="1"/>
  <c r="D41" i="3"/>
  <c r="F41" i="3" s="1"/>
  <c r="I41" i="3" s="1"/>
  <c r="H41" i="3" s="1"/>
  <c r="J41" i="3" s="1"/>
  <c r="K41" i="3" s="1"/>
  <c r="D23" i="3"/>
  <c r="F23" i="3" s="1"/>
  <c r="I23" i="3" s="1"/>
  <c r="H23" i="3" s="1"/>
  <c r="J23" i="3" s="1"/>
  <c r="K23" i="3" s="1"/>
  <c r="D61" i="3"/>
  <c r="F61" i="3" s="1"/>
  <c r="I61" i="3" s="1"/>
  <c r="H61" i="3" s="1"/>
  <c r="J61" i="3" s="1"/>
  <c r="K61" i="3" s="1"/>
  <c r="D52" i="3"/>
  <c r="F52" i="3" s="1"/>
  <c r="I52" i="3" s="1"/>
  <c r="H52" i="3" s="1"/>
  <c r="J52" i="3" s="1"/>
  <c r="K52" i="3" s="1"/>
  <c r="D18" i="3"/>
  <c r="F18" i="3" s="1"/>
  <c r="I18" i="3" s="1"/>
  <c r="H18" i="3" s="1"/>
  <c r="J18" i="3" s="1"/>
  <c r="K18" i="3" s="1"/>
  <c r="D63" i="3"/>
  <c r="F63" i="3" s="1"/>
  <c r="I63" i="3" s="1"/>
  <c r="H63" i="3" s="1"/>
  <c r="J63" i="3" s="1"/>
  <c r="K63" i="3" s="1"/>
  <c r="D19" i="3"/>
  <c r="D25" i="3"/>
  <c r="F25" i="3" s="1"/>
  <c r="I25" i="3" s="1"/>
  <c r="H25" i="3" s="1"/>
  <c r="J25" i="3" s="1"/>
  <c r="K25" i="3" s="1"/>
  <c r="D62" i="3"/>
  <c r="D53" i="3"/>
  <c r="F53" i="3" s="1"/>
  <c r="I53" i="3" s="1"/>
  <c r="H53" i="3" s="1"/>
  <c r="J53" i="3" s="1"/>
  <c r="K53" i="3" s="1"/>
  <c r="D44" i="3"/>
  <c r="F44" i="3" s="1"/>
  <c r="I44" i="3" s="1"/>
  <c r="H44" i="3" s="1"/>
  <c r="J44" i="3" s="1"/>
  <c r="K44" i="3" s="1"/>
  <c r="D49" i="3"/>
  <c r="F49" i="3" s="1"/>
  <c r="I49" i="3" s="1"/>
  <c r="H49" i="3" s="1"/>
  <c r="J49" i="3" s="1"/>
  <c r="K49" i="3" s="1"/>
  <c r="D47" i="3"/>
  <c r="D56" i="3"/>
  <c r="F56" i="3" s="1"/>
  <c r="I56" i="3" s="1"/>
  <c r="H56" i="3" s="1"/>
  <c r="J56" i="3" s="1"/>
  <c r="K56" i="3" s="1"/>
  <c r="D33" i="3"/>
  <c r="F33" i="3" s="1"/>
  <c r="I33" i="3" s="1"/>
  <c r="H33" i="3" s="1"/>
  <c r="J33" i="3" s="1"/>
  <c r="K33" i="3" s="1"/>
  <c r="D15" i="3"/>
  <c r="F15" i="3" s="1"/>
  <c r="I15" i="3" s="1"/>
  <c r="H15" i="3" s="1"/>
  <c r="J15" i="3" s="1"/>
  <c r="K15" i="3" s="1"/>
  <c r="D40" i="3"/>
  <c r="F40" i="3" s="1"/>
  <c r="I40" i="3" s="1"/>
  <c r="H40" i="3" s="1"/>
  <c r="J40" i="3" s="1"/>
  <c r="K40" i="3" s="1"/>
  <c r="D17" i="3"/>
  <c r="F17" i="3" s="1"/>
  <c r="I17" i="3" s="1"/>
  <c r="H17" i="3" s="1"/>
  <c r="J17" i="3" s="1"/>
  <c r="K17" i="3" s="1"/>
  <c r="D59" i="3"/>
  <c r="D67" i="3" l="1"/>
  <c r="F47" i="3"/>
  <c r="I47" i="3" s="1"/>
  <c r="H47" i="3" s="1"/>
  <c r="J47" i="3" s="1"/>
  <c r="K47" i="3" s="1"/>
  <c r="F62" i="3"/>
  <c r="I62" i="3" s="1"/>
  <c r="H62" i="3" s="1"/>
  <c r="J62" i="3" s="1"/>
  <c r="K62" i="3" s="1"/>
  <c r="F43" i="3"/>
  <c r="I43" i="3" s="1"/>
  <c r="H43" i="3" s="1"/>
  <c r="J43" i="3" s="1"/>
  <c r="K43" i="3" s="1"/>
  <c r="F35" i="3"/>
  <c r="I35" i="3" s="1"/>
  <c r="H35" i="3" s="1"/>
  <c r="J35" i="3" s="1"/>
  <c r="K35" i="3" s="1"/>
  <c r="F34" i="3"/>
  <c r="I34" i="3" s="1"/>
  <c r="H34" i="3" s="1"/>
  <c r="J34" i="3" s="1"/>
  <c r="K34" i="3" s="1"/>
  <c r="F59" i="3"/>
  <c r="I59" i="3" s="1"/>
  <c r="H59" i="3" s="1"/>
  <c r="J59" i="3" s="1"/>
  <c r="K59" i="3" s="1"/>
  <c r="F19" i="3"/>
  <c r="I19" i="3" s="1"/>
  <c r="H19" i="3" s="1"/>
  <c r="J19" i="3" s="1"/>
  <c r="K19" i="3" s="1"/>
  <c r="F54" i="3"/>
  <c r="I54" i="3" s="1"/>
  <c r="H54" i="3" s="1"/>
  <c r="J54" i="3" s="1"/>
  <c r="K54" i="3" s="1"/>
  <c r="F37" i="3"/>
  <c r="I37" i="3" s="1"/>
  <c r="H37" i="3" s="1"/>
  <c r="J37" i="3" s="1"/>
  <c r="K37" i="3" s="1"/>
  <c r="F50" i="3"/>
  <c r="I50" i="3" s="1"/>
  <c r="H50" i="3" s="1"/>
  <c r="J50" i="3" s="1"/>
  <c r="K50" i="3" s="1"/>
  <c r="F22" i="3"/>
  <c r="D66" i="3"/>
  <c r="D65" i="3"/>
  <c r="I22" i="3" l="1"/>
  <c r="H22" i="3" s="1"/>
  <c r="J22" i="3" s="1"/>
  <c r="K22" i="3" s="1"/>
  <c r="D106" i="3"/>
  <c r="F66" i="3"/>
  <c r="I66" i="3" s="1"/>
  <c r="H66" i="3" s="1"/>
  <c r="J66" i="3" s="1"/>
  <c r="K66" i="3" s="1"/>
  <c r="D68" i="3" a="1"/>
  <c r="F65" i="3"/>
  <c r="I65" i="3" s="1"/>
  <c r="H65" i="3" s="1"/>
  <c r="J65" i="3" s="1"/>
  <c r="K65" i="3" s="1"/>
  <c r="F67" i="3"/>
  <c r="I67" i="3" s="1"/>
  <c r="H67" i="3" s="1"/>
  <c r="J67" i="3" s="1"/>
  <c r="K67" i="3" s="1"/>
  <c r="D68" i="3" l="1"/>
  <c r="F68" i="3" s="1"/>
  <c r="I68" i="3" s="1"/>
  <c r="H68" i="3" s="1"/>
  <c r="J68" i="3" s="1"/>
  <c r="K68" i="3" s="1"/>
  <c r="D70" i="3"/>
  <c r="D69" i="3"/>
  <c r="F69" i="3" l="1"/>
  <c r="I69" i="3" s="1"/>
  <c r="H69" i="3" s="1"/>
  <c r="F70" i="3"/>
  <c r="I70" i="3" s="1"/>
  <c r="H70" i="3" s="1"/>
  <c r="J70" i="3" s="1"/>
  <c r="K70" i="3" s="1"/>
  <c r="J69" i="3" l="1"/>
  <c r="K69" i="3" s="1"/>
</calcChain>
</file>

<file path=xl/sharedStrings.xml><?xml version="1.0" encoding="utf-8"?>
<sst xmlns="http://schemas.openxmlformats.org/spreadsheetml/2006/main" count="520" uniqueCount="168">
  <si>
    <t>Labeler</t>
  </si>
  <si>
    <t>Spur</t>
  </si>
  <si>
    <t>Bagger</t>
  </si>
  <si>
    <t>Depucker</t>
  </si>
  <si>
    <t>Interarrival time</t>
  </si>
  <si>
    <t>sec</t>
  </si>
  <si>
    <t>Service time (sec)</t>
  </si>
  <si>
    <t>rho</t>
  </si>
  <si>
    <t>Wq</t>
  </si>
  <si>
    <t>Lq</t>
  </si>
  <si>
    <t>From\To (prob)</t>
  </si>
  <si>
    <t>Out of the system</t>
  </si>
  <si>
    <t>Number of servers</t>
  </si>
  <si>
    <t>pi(0)</t>
  </si>
  <si>
    <t>Interarrival rate</t>
  </si>
  <si>
    <t>Service rate</t>
  </si>
  <si>
    <t>Interarrival_rate</t>
  </si>
  <si>
    <t>W</t>
  </si>
  <si>
    <t>L</t>
  </si>
  <si>
    <t>Parameters</t>
  </si>
  <si>
    <t>Probability transision matrix</t>
  </si>
  <si>
    <t>Labeler Small1</t>
  </si>
  <si>
    <t>U1 Cell1</t>
  </si>
  <si>
    <t>U1 Cell2</t>
  </si>
  <si>
    <t>U1 Cell3</t>
  </si>
  <si>
    <t>U1 Cell4</t>
  </si>
  <si>
    <t>U1 Cell5</t>
  </si>
  <si>
    <t>U1 Cell6</t>
  </si>
  <si>
    <t>U1 Cell7</t>
  </si>
  <si>
    <t>U1 Cell8</t>
  </si>
  <si>
    <t>U1 Cell9</t>
  </si>
  <si>
    <t>U1 Cell10</t>
  </si>
  <si>
    <t>U1 Cell11</t>
  </si>
  <si>
    <t>U1 Cell12</t>
  </si>
  <si>
    <t>U1 Cell13</t>
  </si>
  <si>
    <t>U1 Cell14</t>
  </si>
  <si>
    <t>U1 Cell15</t>
  </si>
  <si>
    <t>U1 Cell16</t>
  </si>
  <si>
    <t>U1 Cell17</t>
  </si>
  <si>
    <t>U1 Cell18</t>
  </si>
  <si>
    <t>U2 Cell1</t>
  </si>
  <si>
    <t>U2 Cell2</t>
  </si>
  <si>
    <t>U2 Cell3</t>
  </si>
  <si>
    <t>U2 Cell4</t>
  </si>
  <si>
    <t>U2 Cell5</t>
  </si>
  <si>
    <t>U2 Cell6</t>
  </si>
  <si>
    <t>U2 Cell7</t>
  </si>
  <si>
    <t>U2 Cell8</t>
  </si>
  <si>
    <t>U2 Cell9</t>
  </si>
  <si>
    <t>U2 Cell10</t>
  </si>
  <si>
    <t>U2 Cell11</t>
  </si>
  <si>
    <t>U2 Cell12</t>
  </si>
  <si>
    <t>U2 Cell13</t>
  </si>
  <si>
    <t>U2 Cell14</t>
  </si>
  <si>
    <t>U2 Cell15</t>
  </si>
  <si>
    <t>U2 Cell16</t>
  </si>
  <si>
    <t>U2 Cell17</t>
  </si>
  <si>
    <t>U2 Cell18</t>
  </si>
  <si>
    <t>U3 Cell1</t>
  </si>
  <si>
    <t>U3 Cell2</t>
  </si>
  <si>
    <t>U3 Cell3</t>
  </si>
  <si>
    <t>U3 Cell4</t>
  </si>
  <si>
    <t>U3 Cell5</t>
  </si>
  <si>
    <t>U3 Cell6</t>
  </si>
  <si>
    <t>U3 Cell7</t>
  </si>
  <si>
    <t>U3 Cell8</t>
  </si>
  <si>
    <t>U3 Cell9</t>
  </si>
  <si>
    <t>U3 Cell10</t>
  </si>
  <si>
    <t>U3 Cell11</t>
  </si>
  <si>
    <t>U3 Cell12</t>
  </si>
  <si>
    <t>U3 Cell13</t>
  </si>
  <si>
    <t>U3 Cell14</t>
  </si>
  <si>
    <t>U3 Cell15</t>
  </si>
  <si>
    <t>U3 Cell16</t>
  </si>
  <si>
    <t>U3 Cell17</t>
  </si>
  <si>
    <t>U3 Cell18</t>
  </si>
  <si>
    <t>U1 Verify</t>
  </si>
  <si>
    <t>WeightL1</t>
  </si>
  <si>
    <t>WeightL3</t>
  </si>
  <si>
    <t>Labeler Big</t>
  </si>
  <si>
    <t>U2 Verify</t>
  </si>
  <si>
    <t>U3 Verify</t>
  </si>
  <si>
    <t>Bagger Individual</t>
  </si>
  <si>
    <t>Bagger Multiple</t>
  </si>
  <si>
    <t>U1 Cell101</t>
  </si>
  <si>
    <t>U1 Cell102</t>
  </si>
  <si>
    <t>U1 Cell103</t>
  </si>
  <si>
    <t>U1 Cell104</t>
  </si>
  <si>
    <t>U1 Cell105</t>
  </si>
  <si>
    <t>U1 Cell106</t>
  </si>
  <si>
    <t>U1 Cell107</t>
  </si>
  <si>
    <t>U1 Cell108</t>
  </si>
  <si>
    <t>U1 Cell109</t>
  </si>
  <si>
    <t>U1 Cell110</t>
  </si>
  <si>
    <t>U1 Cell111</t>
  </si>
  <si>
    <t>U1 Cell112</t>
  </si>
  <si>
    <t>U1 Cell202</t>
  </si>
  <si>
    <t>U1 Cell203</t>
  </si>
  <si>
    <t>U1 Cell204</t>
  </si>
  <si>
    <t>U1 Cell205</t>
  </si>
  <si>
    <t>U1 Cell206</t>
  </si>
  <si>
    <t>U2 Cell101</t>
  </si>
  <si>
    <t>U2 Cell102</t>
  </si>
  <si>
    <t>U2 Cell103</t>
  </si>
  <si>
    <t>U2 Cell104</t>
  </si>
  <si>
    <t>U2 Cell105</t>
  </si>
  <si>
    <t>U2 Cell106</t>
  </si>
  <si>
    <t>U2 Cell107</t>
  </si>
  <si>
    <t>U2 Cell108</t>
  </si>
  <si>
    <t>U2 Cell109</t>
  </si>
  <si>
    <t>U2 Cell110</t>
  </si>
  <si>
    <t>U2 Cell111</t>
  </si>
  <si>
    <t>U2 Cell112</t>
  </si>
  <si>
    <t>U2 Cell202</t>
  </si>
  <si>
    <t>U2 Cell203</t>
  </si>
  <si>
    <t>U2 Cell204</t>
  </si>
  <si>
    <t>U2 Cell205</t>
  </si>
  <si>
    <t>U2 Cell206</t>
  </si>
  <si>
    <t>U3 Cell101</t>
  </si>
  <si>
    <t>U3 Cell102</t>
  </si>
  <si>
    <t>U3 Cell103</t>
  </si>
  <si>
    <t>U3 Cell104</t>
  </si>
  <si>
    <t>U3 Cell105</t>
  </si>
  <si>
    <t>U3 Cell106</t>
  </si>
  <si>
    <t>U3 Cell107</t>
  </si>
  <si>
    <t>U3 Cell108</t>
  </si>
  <si>
    <t>U3 Cell109</t>
  </si>
  <si>
    <t>U3 Cell110</t>
  </si>
  <si>
    <t>U3 Cell111</t>
  </si>
  <si>
    <t>U3 Cell112</t>
  </si>
  <si>
    <t>U3 Cell202</t>
  </si>
  <si>
    <t>U3 Cell203</t>
  </si>
  <si>
    <t>U3 Cell204</t>
  </si>
  <si>
    <t>U3 Cell205</t>
  </si>
  <si>
    <t>U3 Cell206</t>
  </si>
  <si>
    <t>U3 Cell201</t>
  </si>
  <si>
    <t>U1 Cell201</t>
  </si>
  <si>
    <t>U2 Cell201</t>
  </si>
  <si>
    <t>vial/sec</t>
  </si>
  <si>
    <t>From \ To (prob)</t>
  </si>
  <si>
    <t>Labeler Small</t>
  </si>
  <si>
    <t>n</t>
  </si>
  <si>
    <t>μ</t>
  </si>
  <si>
    <t>p(ij)</t>
  </si>
  <si>
    <t>JACKSON NETWORK</t>
  </si>
  <si>
    <t>Av weight</t>
  </si>
  <si>
    <t>Av Uber</t>
  </si>
  <si>
    <t>Av Verify</t>
  </si>
  <si>
    <t>Baggers</t>
  </si>
  <si>
    <t>Max Uber</t>
  </si>
  <si>
    <t>Max weight</t>
  </si>
  <si>
    <t>Max Verify</t>
  </si>
  <si>
    <t xml:space="preserve"> 2, 1, 1.5, 1, 1, 3, 1,</t>
  </si>
  <si>
    <t xml:space="preserve"> 2, 1, 1.5, 1, 1, 4, 1,</t>
  </si>
  <si>
    <t xml:space="preserve"> 3, 1, 1.5, 1, 1, 4, 1,</t>
  </si>
  <si>
    <t xml:space="preserve"> 3, 1, 1.5, 1, 1, 5, 1,</t>
  </si>
  <si>
    <t xml:space="preserve"> 4, 1, 1.5, 1, 1, 5, 1,</t>
  </si>
  <si>
    <t xml:space="preserve"> 4, 1, 1.5, 1, 1, 6, 1,</t>
  </si>
  <si>
    <t xml:space="preserve"> 2, 1, 1.5, 1, 1, 3, 1,1.6</t>
  </si>
  <si>
    <t xml:space="preserve"> 2, 1, 1.5, 1, 1, 4, 1,1.45</t>
  </si>
  <si>
    <t xml:space="preserve"> 3, 1, 1.5, 1, 1, 4, 1,1.2</t>
  </si>
  <si>
    <t xml:space="preserve"> 3, 1, 1.5, 1, 1, 5, 1,0.95</t>
  </si>
  <si>
    <t xml:space="preserve"> 4, 1, 1.5, 1, 1, 5, 1,0.92</t>
  </si>
  <si>
    <t xml:space="preserve"> 4, 1, 1.5, 1, 1, 6, 1,0.85</t>
  </si>
  <si>
    <t xml:space="preserve"> 4, 1, 2, 1, 1, 6, 1,</t>
  </si>
  <si>
    <t xml:space="preserve"> 4, 1, 2, 1, 1, 6, 1,0.85</t>
  </si>
  <si>
    <t xml:space="preserve"> 4, 1, 2, 1, 1, 6, 1,0.8</t>
  </si>
  <si>
    <t xml:space="preserve"> 4, 1, 2, 1, 1, 6, 1,0.78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</si>
</sst>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wrapText="1"/>
    </xf>
    <xf numFmtId="0" fontId="0" fillId="0" borderId="0" xfId="0" applyAlignment="1"/>
    <xf numFmtId="0" fontId="2" fillId="0" borderId="1" xfId="0" applyFont="1" applyBorder="1"/>
    <xf numFmtId="0" fontId="0" fillId="0" borderId="1" xfId="0" applyBorder="1"/>
    <xf numFmtId="0" fontId="0" fillId="0" borderId="1" xfId="0" applyNumberFormat="1" applyBorder="1"/>
    <xf numFmtId="0" fontId="0" fillId="2" borderId="1" xfId="0" applyFill="1" applyBorder="1"/>
    <xf numFmtId="164" fontId="0" fillId="0" borderId="1" xfId="0" applyNumberFormat="1" applyBorder="1"/>
    <xf numFmtId="0" fontId="0" fillId="2" borderId="1" xfId="0" applyNumberFormat="1" applyFill="1" applyBorder="1"/>
    <xf numFmtId="0" fontId="1" fillId="0" borderId="1" xfId="0" applyFont="1" applyBorder="1"/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0" borderId="0" xfId="0" applyFont="1" applyAlignment="1"/>
    <xf numFmtId="0" fontId="3" fillId="0" borderId="1" xfId="0" applyFont="1" applyBorder="1" applyAlignment="1">
      <alignment wrapText="1"/>
    </xf>
    <xf numFmtId="0" fontId="1" fillId="4" borderId="5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2" fontId="0" fillId="4" borderId="0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1" fillId="4" borderId="0" xfId="0" applyFont="1" applyFill="1" applyBorder="1"/>
    <xf numFmtId="0" fontId="0" fillId="4" borderId="0" xfId="0" applyFill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4" fillId="4" borderId="0" xfId="0" applyFont="1" applyFill="1" applyBorder="1" applyAlignment="1">
      <alignment horizontal="center"/>
    </xf>
    <xf numFmtId="0" fontId="1" fillId="4" borderId="5" xfId="0" applyFont="1" applyFill="1" applyBorder="1"/>
    <xf numFmtId="0" fontId="1" fillId="4" borderId="7" xfId="0" applyFont="1" applyFill="1" applyBorder="1"/>
    <xf numFmtId="0" fontId="0" fillId="4" borderId="8" xfId="0" applyFill="1" applyBorder="1"/>
    <xf numFmtId="0" fontId="1" fillId="4" borderId="8" xfId="0" applyFont="1" applyFill="1" applyBorder="1"/>
    <xf numFmtId="0" fontId="0" fillId="4" borderId="9" xfId="0" applyFill="1" applyBorder="1"/>
    <xf numFmtId="0" fontId="0" fillId="3" borderId="1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164" fontId="0" fillId="0" borderId="0" xfId="0" applyNumberFormat="1" applyBorder="1"/>
    <xf numFmtId="16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1">
    <cellStyle name="Normal" xfId="0" builtinId="0"/>
  </cellStyles>
  <dxfs count="12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Utilization</a:t>
            </a:r>
          </a:p>
          <a:p>
            <a:pPr>
              <a:defRPr/>
            </a:pPr>
            <a:r>
              <a:rPr lang="en-US"/>
              <a:t>Arrival</a:t>
            </a:r>
            <a:r>
              <a:rPr lang="en-US" baseline="0"/>
              <a:t> rate 2.7 sec/vial</a:t>
            </a:r>
            <a:endParaRPr lang="en-US"/>
          </a:p>
        </c:rich>
      </c:tx>
      <c:layout>
        <c:manualLayout>
          <c:xMode val="edge"/>
          <c:yMode val="edge"/>
          <c:x val="0.44288986775331501"/>
          <c:y val="2.49221183800623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Results!$A$4</c:f>
              <c:strCache>
                <c:ptCount val="1"/>
                <c:pt idx="0">
                  <c:v>Labeler Small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Results!$B$3:$G$3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Results!$B$4:$G$4</c:f>
              <c:numCache>
                <c:formatCode>0.000</c:formatCode>
                <c:ptCount val="6"/>
                <c:pt idx="0">
                  <c:v>0.51851851851851849</c:v>
                </c:pt>
                <c:pt idx="1">
                  <c:v>0.51851851851851849</c:v>
                </c:pt>
                <c:pt idx="2">
                  <c:v>0.34567901234567899</c:v>
                </c:pt>
                <c:pt idx="3">
                  <c:v>0.34567901234567899</c:v>
                </c:pt>
                <c:pt idx="4">
                  <c:v>0.25925925925925924</c:v>
                </c:pt>
                <c:pt idx="5">
                  <c:v>0.25925925925925924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8E-4955-A84C-1080DD3AF105}"/>
            </c:ext>
          </c:extLst>
        </c:ser>
        <c:ser>
          <c:idx val="3"/>
          <c:order val="1"/>
          <c:tx>
            <c:strRef>
              <c:f>Results!$A$7</c:f>
              <c:strCache>
                <c:ptCount val="1"/>
                <c:pt idx="0">
                  <c:v>Max weight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Results!$B$3:$G$3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Results!$B$7:$G$7</c:f>
              <c:numCache>
                <c:formatCode>0.000</c:formatCode>
                <c:ptCount val="6"/>
                <c:pt idx="0">
                  <c:v>0.29629629629629628</c:v>
                </c:pt>
                <c:pt idx="1">
                  <c:v>0.29629629629629628</c:v>
                </c:pt>
                <c:pt idx="2">
                  <c:v>0.29629629629629628</c:v>
                </c:pt>
                <c:pt idx="3">
                  <c:v>0.29629629629629628</c:v>
                </c:pt>
                <c:pt idx="4">
                  <c:v>0.29629629629629628</c:v>
                </c:pt>
                <c:pt idx="5">
                  <c:v>0.29629629629629628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8E-4955-A84C-1080DD3AF105}"/>
            </c:ext>
          </c:extLst>
        </c:ser>
        <c:ser>
          <c:idx val="7"/>
          <c:order val="2"/>
          <c:tx>
            <c:strRef>
              <c:f>Results!$A$11</c:f>
              <c:strCache>
                <c:ptCount val="1"/>
                <c:pt idx="0">
                  <c:v>Max Verify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Results!$B$3:$G$3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Results!$B$11:$G$11</c:f>
              <c:numCache>
                <c:formatCode>0.000</c:formatCode>
                <c:ptCount val="6"/>
                <c:pt idx="0">
                  <c:v>0.28622320496284009</c:v>
                </c:pt>
                <c:pt idx="1">
                  <c:v>0.28622320496284009</c:v>
                </c:pt>
                <c:pt idx="2">
                  <c:v>0.28622320496284009</c:v>
                </c:pt>
                <c:pt idx="3">
                  <c:v>0.28622320496284009</c:v>
                </c:pt>
                <c:pt idx="4">
                  <c:v>0.28622320496284009</c:v>
                </c:pt>
                <c:pt idx="5">
                  <c:v>0.28622320496284009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8E-4955-A84C-1080DD3AF105}"/>
            </c:ext>
          </c:extLst>
        </c:ser>
        <c:ser>
          <c:idx val="8"/>
          <c:order val="3"/>
          <c:tx>
            <c:strRef>
              <c:f>Results!$A$12</c:f>
              <c:strCache>
                <c:ptCount val="1"/>
                <c:pt idx="0">
                  <c:v>Baggers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Results!$B$3:$G$3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Results!$B$12:$G$12</c:f>
              <c:numCache>
                <c:formatCode>0.000</c:formatCode>
                <c:ptCount val="6"/>
                <c:pt idx="0">
                  <c:v>0.56733333333333325</c:v>
                </c:pt>
                <c:pt idx="1">
                  <c:v>0.42549999999999993</c:v>
                </c:pt>
                <c:pt idx="2">
                  <c:v>0.42549999999999993</c:v>
                </c:pt>
                <c:pt idx="3">
                  <c:v>0.34039999999999998</c:v>
                </c:pt>
                <c:pt idx="4">
                  <c:v>0.34039999999999998</c:v>
                </c:pt>
                <c:pt idx="5">
                  <c:v>0.28366666666666662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8E-4955-A84C-1080DD3AF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9318816"/>
        <c:axId val="779319376"/>
      </c:lineChart>
      <c:catAx>
        <c:axId val="77931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319376"/>
        <c:crosses val="autoZero"/>
        <c:auto val="1"/>
        <c:lblAlgn val="ctr"/>
        <c:lblOffset val="100"/>
        <c:noMultiLvlLbl val="0"/>
      </c:catAx>
      <c:valAx>
        <c:axId val="77931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31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Results!$Q$4</c:f>
              <c:strCache>
                <c:ptCount val="1"/>
                <c:pt idx="0">
                  <c:v>Labeler Small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Results!$R$4:$Z$4</c:f>
              <c:numCache>
                <c:formatCode>General</c:formatCode>
                <c:ptCount val="9"/>
                <c:pt idx="0">
                  <c:v>0.875</c:v>
                </c:pt>
                <c:pt idx="1">
                  <c:v>0.96551724137931061</c:v>
                </c:pt>
                <c:pt idx="2">
                  <c:v>0.7777777777777779</c:v>
                </c:pt>
                <c:pt idx="3">
                  <c:v>0.98245614035087714</c:v>
                </c:pt>
                <c:pt idx="4">
                  <c:v>0.76086956521739135</c:v>
                </c:pt>
                <c:pt idx="5">
                  <c:v>0.82352941176470607</c:v>
                </c:pt>
                <c:pt idx="6">
                  <c:v>0.82352941176470607</c:v>
                </c:pt>
                <c:pt idx="7">
                  <c:v>0.875</c:v>
                </c:pt>
                <c:pt idx="8">
                  <c:v>0.89743589743589736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BD-4192-865B-589F95BE32FE}"/>
            </c:ext>
          </c:extLst>
        </c:ser>
        <c:ser>
          <c:idx val="1"/>
          <c:order val="1"/>
          <c:tx>
            <c:strRef>
              <c:f>Results!$Q$5</c:f>
              <c:strCache>
                <c:ptCount val="1"/>
                <c:pt idx="0">
                  <c:v>Labeler Big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Results!$R$5:$Z$5</c:f>
              <c:numCache>
                <c:formatCode>General</c:formatCode>
                <c:ptCount val="9"/>
                <c:pt idx="0">
                  <c:v>0.4375</c:v>
                </c:pt>
                <c:pt idx="1">
                  <c:v>0.4827586206896553</c:v>
                </c:pt>
                <c:pt idx="2">
                  <c:v>0.58333333333333348</c:v>
                </c:pt>
                <c:pt idx="3">
                  <c:v>0.73684210526315785</c:v>
                </c:pt>
                <c:pt idx="4">
                  <c:v>0.76086956521739135</c:v>
                </c:pt>
                <c:pt idx="5">
                  <c:v>0.82352941176470607</c:v>
                </c:pt>
                <c:pt idx="6">
                  <c:v>0.82352941176470607</c:v>
                </c:pt>
                <c:pt idx="7">
                  <c:v>0.875</c:v>
                </c:pt>
                <c:pt idx="8">
                  <c:v>0.89743589743589736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BD-4192-865B-589F95BE32FE}"/>
            </c:ext>
          </c:extLst>
        </c:ser>
        <c:ser>
          <c:idx val="2"/>
          <c:order val="2"/>
          <c:tx>
            <c:strRef>
              <c:f>Results!$Q$6</c:f>
              <c:strCache>
                <c:ptCount val="1"/>
                <c:pt idx="0">
                  <c:v>Av weight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Results!$R$6:$Z$6</c:f>
              <c:numCache>
                <c:formatCode>General</c:formatCode>
                <c:ptCount val="9"/>
                <c:pt idx="0">
                  <c:v>0.34375</c:v>
                </c:pt>
                <c:pt idx="1">
                  <c:v>0.3793103448275863</c:v>
                </c:pt>
                <c:pt idx="2">
                  <c:v>0.45833333333333337</c:v>
                </c:pt>
                <c:pt idx="3">
                  <c:v>0.57894736842105265</c:v>
                </c:pt>
                <c:pt idx="4">
                  <c:v>0.59782608695652173</c:v>
                </c:pt>
                <c:pt idx="5">
                  <c:v>0.64705882352941191</c:v>
                </c:pt>
                <c:pt idx="6">
                  <c:v>0.49019607843137264</c:v>
                </c:pt>
                <c:pt idx="7">
                  <c:v>0.52083333333333326</c:v>
                </c:pt>
                <c:pt idx="8">
                  <c:v>0.53418803418803407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BD-4192-865B-589F95BE32FE}"/>
            </c:ext>
          </c:extLst>
        </c:ser>
        <c:ser>
          <c:idx val="3"/>
          <c:order val="3"/>
          <c:tx>
            <c:strRef>
              <c:f>Results!$Q$7</c:f>
              <c:strCache>
                <c:ptCount val="1"/>
                <c:pt idx="0">
                  <c:v>Max weight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Results!$R$7:$Z$7</c:f>
              <c:numCache>
                <c:formatCode>General</c:formatCode>
                <c:ptCount val="9"/>
                <c:pt idx="0">
                  <c:v>0.5</c:v>
                </c:pt>
                <c:pt idx="1">
                  <c:v>0.55172413793103459</c:v>
                </c:pt>
                <c:pt idx="2">
                  <c:v>0.66666666666666674</c:v>
                </c:pt>
                <c:pt idx="3">
                  <c:v>0.84210526315789469</c:v>
                </c:pt>
                <c:pt idx="4">
                  <c:v>0.86956521739130432</c:v>
                </c:pt>
                <c:pt idx="5">
                  <c:v>0.94117647058823539</c:v>
                </c:pt>
                <c:pt idx="6">
                  <c:v>0.62745098039215697</c:v>
                </c:pt>
                <c:pt idx="7">
                  <c:v>0.66666666666666663</c:v>
                </c:pt>
                <c:pt idx="8">
                  <c:v>0.68376068376068366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BD-4192-865B-589F95BE32FE}"/>
            </c:ext>
          </c:extLst>
        </c:ser>
        <c:ser>
          <c:idx val="4"/>
          <c:order val="4"/>
          <c:tx>
            <c:strRef>
              <c:f>Results!$Q$8</c:f>
              <c:strCache>
                <c:ptCount val="1"/>
                <c:pt idx="0">
                  <c:v>Av Uber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Results!$R$8:$Z$8</c:f>
              <c:numCache>
                <c:formatCode>General</c:formatCode>
                <c:ptCount val="9"/>
                <c:pt idx="0">
                  <c:v>0.10939300671782332</c:v>
                </c:pt>
                <c:pt idx="1">
                  <c:v>0.12070952465414989</c:v>
                </c:pt>
                <c:pt idx="2">
                  <c:v>0.1458573422904311</c:v>
                </c:pt>
                <c:pt idx="3">
                  <c:v>0.18424085341949187</c:v>
                </c:pt>
                <c:pt idx="4">
                  <c:v>0.19024870733534488</c:v>
                </c:pt>
                <c:pt idx="5">
                  <c:v>0.20591624793943214</c:v>
                </c:pt>
                <c:pt idx="6">
                  <c:v>0.20591624793943214</c:v>
                </c:pt>
                <c:pt idx="7">
                  <c:v>0.21878601343564663</c:v>
                </c:pt>
                <c:pt idx="8">
                  <c:v>0.22439591121604779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BD-4192-865B-589F95BE32FE}"/>
            </c:ext>
          </c:extLst>
        </c:ser>
        <c:ser>
          <c:idx val="5"/>
          <c:order val="5"/>
          <c:tx>
            <c:strRef>
              <c:f>Results!$Q$9</c:f>
              <c:strCache>
                <c:ptCount val="1"/>
                <c:pt idx="0">
                  <c:v>Max Uber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Results!$R$9:$Z$9</c:f>
              <c:numCache>
                <c:formatCode>General</c:formatCode>
                <c:ptCount val="9"/>
                <c:pt idx="0">
                  <c:v>0.15278480478961126</c:v>
                </c:pt>
                <c:pt idx="1">
                  <c:v>0.16859012942301935</c:v>
                </c:pt>
                <c:pt idx="2">
                  <c:v>0.20371307305281502</c:v>
                </c:pt>
                <c:pt idx="3">
                  <c:v>0.25732177648776627</c:v>
                </c:pt>
                <c:pt idx="4">
                  <c:v>0.26571270398193259</c:v>
                </c:pt>
                <c:pt idx="5">
                  <c:v>0.28759492666279768</c:v>
                </c:pt>
                <c:pt idx="6">
                  <c:v>0.28759492666279768</c:v>
                </c:pt>
                <c:pt idx="7">
                  <c:v>0.30556960957922252</c:v>
                </c:pt>
                <c:pt idx="8">
                  <c:v>0.31340472777356149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BD-4192-865B-589F95BE32FE}"/>
            </c:ext>
          </c:extLst>
        </c:ser>
        <c:ser>
          <c:idx val="6"/>
          <c:order val="6"/>
          <c:tx>
            <c:strRef>
              <c:f>Results!$Q$10</c:f>
              <c:strCache>
                <c:ptCount val="1"/>
                <c:pt idx="0">
                  <c:v>Av Verify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Results!$R$10:$Z$10</c:f>
              <c:numCache>
                <c:formatCode>General</c:formatCode>
                <c:ptCount val="9"/>
                <c:pt idx="0">
                  <c:v>0.43681662309919334</c:v>
                </c:pt>
                <c:pt idx="1">
                  <c:v>0.48200454962669609</c:v>
                </c:pt>
                <c:pt idx="2">
                  <c:v>0.58242216413225778</c:v>
                </c:pt>
                <c:pt idx="3">
                  <c:v>0.7356911546933782</c:v>
                </c:pt>
                <c:pt idx="4">
                  <c:v>0.75968108365077092</c:v>
                </c:pt>
                <c:pt idx="5">
                  <c:v>0.82224305524554042</c:v>
                </c:pt>
                <c:pt idx="6">
                  <c:v>0.82224305524554042</c:v>
                </c:pt>
                <c:pt idx="7">
                  <c:v>0.87363324619838667</c:v>
                </c:pt>
                <c:pt idx="8">
                  <c:v>0.89603409866501194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BD-4192-865B-589F95BE32FE}"/>
            </c:ext>
          </c:extLst>
        </c:ser>
        <c:ser>
          <c:idx val="7"/>
          <c:order val="7"/>
          <c:tx>
            <c:strRef>
              <c:f>Results!$Q$11</c:f>
              <c:strCache>
                <c:ptCount val="1"/>
                <c:pt idx="0">
                  <c:v>Max Verify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Results!$R$11:$Z$11</c:f>
              <c:numCache>
                <c:formatCode>General</c:formatCode>
                <c:ptCount val="9"/>
                <c:pt idx="0">
                  <c:v>0.48300165837479275</c:v>
                </c:pt>
                <c:pt idx="1">
                  <c:v>0.53296734717218508</c:v>
                </c:pt>
                <c:pt idx="2">
                  <c:v>0.64400221116639034</c:v>
                </c:pt>
                <c:pt idx="3">
                  <c:v>0.81347647726280881</c:v>
                </c:pt>
                <c:pt idx="4">
                  <c:v>0.84000288413007418</c:v>
                </c:pt>
                <c:pt idx="5">
                  <c:v>0.90917959223490386</c:v>
                </c:pt>
                <c:pt idx="6">
                  <c:v>0.90917959223490386</c:v>
                </c:pt>
                <c:pt idx="7">
                  <c:v>0.96600331674958551</c:v>
                </c:pt>
                <c:pt idx="8">
                  <c:v>0.99077263256367754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BD-4192-865B-589F95BE32FE}"/>
            </c:ext>
          </c:extLst>
        </c:ser>
        <c:ser>
          <c:idx val="8"/>
          <c:order val="8"/>
          <c:tx>
            <c:strRef>
              <c:f>Results!$Q$12</c:f>
              <c:strCache>
                <c:ptCount val="1"/>
                <c:pt idx="0">
                  <c:v>Baggers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Results!$R$12:$Z$12</c:f>
              <c:numCache>
                <c:formatCode>General</c:formatCode>
                <c:ptCount val="9"/>
                <c:pt idx="0">
                  <c:v>0.95737499999999998</c:v>
                </c:pt>
                <c:pt idx="1">
                  <c:v>0.79231034482758622</c:v>
                </c:pt>
                <c:pt idx="2">
                  <c:v>0.9573750000000002</c:v>
                </c:pt>
                <c:pt idx="3">
                  <c:v>0.96745263157894745</c:v>
                </c:pt>
                <c:pt idx="4">
                  <c:v>0.99900000000000011</c:v>
                </c:pt>
                <c:pt idx="5">
                  <c:v>0.90105882352941191</c:v>
                </c:pt>
                <c:pt idx="6">
                  <c:v>0.90105882352941191</c:v>
                </c:pt>
                <c:pt idx="7">
                  <c:v>0.95737499999999998</c:v>
                </c:pt>
                <c:pt idx="8">
                  <c:v>0.98192307692307701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BD-4192-865B-589F95BE32FE}"/>
            </c:ext>
          </c:extLst>
        </c:ser>
        <c:ser>
          <c:idx val="9"/>
          <c:order val="9"/>
          <c:tx>
            <c:strRef>
              <c:f>Results!$Q$13</c:f>
              <c:strCache>
                <c:ptCount val="1"/>
                <c:pt idx="0">
                  <c:v>Bagger Multiple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Results!$R$13:$Z$13</c:f>
              <c:numCache>
                <c:formatCode>General</c:formatCode>
                <c:ptCount val="9"/>
                <c:pt idx="0">
                  <c:v>0.40500000000000003</c:v>
                </c:pt>
                <c:pt idx="1">
                  <c:v>0.446896551724138</c:v>
                </c:pt>
                <c:pt idx="2">
                  <c:v>0.54</c:v>
                </c:pt>
                <c:pt idx="3">
                  <c:v>0.68210526315789488</c:v>
                </c:pt>
                <c:pt idx="4">
                  <c:v>0.70434782608695645</c:v>
                </c:pt>
                <c:pt idx="5">
                  <c:v>0.76235294117647068</c:v>
                </c:pt>
                <c:pt idx="6">
                  <c:v>0.76235294117647068</c:v>
                </c:pt>
                <c:pt idx="7">
                  <c:v>0.81</c:v>
                </c:pt>
                <c:pt idx="8">
                  <c:v>0.8307692307692307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BD-4192-865B-589F95BE32FE}"/>
            </c:ext>
          </c:extLst>
        </c:ser>
        <c:ser>
          <c:idx val="10"/>
          <c:order val="10"/>
          <c:tx>
            <c:strRef>
              <c:f>Results!$Q$14</c:f>
              <c:strCache>
                <c:ptCount val="1"/>
                <c:pt idx="0">
                  <c:v>Depucker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Results!$R$14:$Z$14</c:f>
              <c:numCache>
                <c:formatCode>General</c:formatCode>
                <c:ptCount val="9"/>
                <c:pt idx="0">
                  <c:v>0.39406249999999987</c:v>
                </c:pt>
                <c:pt idx="1">
                  <c:v>0.43482758620689654</c:v>
                </c:pt>
                <c:pt idx="2">
                  <c:v>0.52541666666666664</c:v>
                </c:pt>
                <c:pt idx="3">
                  <c:v>0.66368421052631577</c:v>
                </c:pt>
                <c:pt idx="4">
                  <c:v>0.68532608695652164</c:v>
                </c:pt>
                <c:pt idx="5">
                  <c:v>0.74176470588235299</c:v>
                </c:pt>
                <c:pt idx="6">
                  <c:v>0.74176470588235299</c:v>
                </c:pt>
                <c:pt idx="7">
                  <c:v>0.78812499999999974</c:v>
                </c:pt>
                <c:pt idx="8">
                  <c:v>0.80833333333333324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BD-4192-865B-589F95BE3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230176"/>
        <c:axId val="292842192"/>
      </c:lineChart>
      <c:catAx>
        <c:axId val="29423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842192"/>
        <c:crosses val="autoZero"/>
        <c:auto val="1"/>
        <c:lblAlgn val="ctr"/>
        <c:lblOffset val="100"/>
        <c:noMultiLvlLbl val="0"/>
      </c:catAx>
      <c:valAx>
        <c:axId val="29284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23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Results!$Q$18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Results!$R$18:$Z$18</c:f>
              <c:numCache>
                <c:formatCode>General</c:formatCode>
                <c:ptCount val="9"/>
                <c:pt idx="0">
                  <c:v>6.6666666666666666E-2</c:v>
                </c:pt>
                <c:pt idx="1">
                  <c:v>1.7543859649122671E-2</c:v>
                </c:pt>
                <c:pt idx="2">
                  <c:v>6.4171122994652358E-2</c:v>
                </c:pt>
                <c:pt idx="3">
                  <c:v>3.9757271395689598E-3</c:v>
                </c:pt>
                <c:pt idx="4">
                  <c:v>3.5306823720716682E-2</c:v>
                </c:pt>
                <c:pt idx="5">
                  <c:v>2.2999584398128877E-2</c:v>
                </c:pt>
                <c:pt idx="6">
                  <c:v>2.2999584398128877E-2</c:v>
                </c:pt>
                <c:pt idx="7">
                  <c:v>1.4751075599262446E-2</c:v>
                </c:pt>
                <c:pt idx="8">
                  <c:v>1.1600562359060679E-2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19-4618-9DE5-8A7CD62B5F8C}"/>
            </c:ext>
          </c:extLst>
        </c:ser>
        <c:ser>
          <c:idx val="1"/>
          <c:order val="1"/>
          <c:tx>
            <c:strRef>
              <c:f>Results!$Q$19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Results!$R$19:$Z$19</c:f>
              <c:numCache>
                <c:formatCode>General</c:formatCode>
                <c:ptCount val="9"/>
                <c:pt idx="0">
                  <c:v>0.5625</c:v>
                </c:pt>
                <c:pt idx="1">
                  <c:v>0.51724137931034475</c:v>
                </c:pt>
                <c:pt idx="2">
                  <c:v>0.41666666666666652</c:v>
                </c:pt>
                <c:pt idx="3">
                  <c:v>0.26315789473684215</c:v>
                </c:pt>
                <c:pt idx="4">
                  <c:v>0.23913043478260865</c:v>
                </c:pt>
                <c:pt idx="5">
                  <c:v>0.17647058823529393</c:v>
                </c:pt>
                <c:pt idx="6">
                  <c:v>0.17647058823529393</c:v>
                </c:pt>
                <c:pt idx="7">
                  <c:v>0.125</c:v>
                </c:pt>
                <c:pt idx="8">
                  <c:v>0.10256410256410264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19-4618-9DE5-8A7CD62B5F8C}"/>
            </c:ext>
          </c:extLst>
        </c:ser>
        <c:ser>
          <c:idx val="2"/>
          <c:order val="2"/>
          <c:tx>
            <c:strRef>
              <c:f>Results!$Q$20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Results!$R$20:$Z$20</c:f>
              <c:numCache>
                <c:formatCode>General</c:formatCode>
                <c:ptCount val="9"/>
                <c:pt idx="0">
                  <c:v>0.57291666666666663</c:v>
                </c:pt>
                <c:pt idx="1">
                  <c:v>0.54099616858237543</c:v>
                </c:pt>
                <c:pt idx="2">
                  <c:v>0.47499999999999992</c:v>
                </c:pt>
                <c:pt idx="3">
                  <c:v>0.38496240601503762</c:v>
                </c:pt>
                <c:pt idx="4">
                  <c:v>0.371840242669363</c:v>
                </c:pt>
                <c:pt idx="5">
                  <c:v>0.33868092691622098</c:v>
                </c:pt>
                <c:pt idx="6">
                  <c:v>0.38899353823410182</c:v>
                </c:pt>
                <c:pt idx="7">
                  <c:v>0.36805555555555558</c:v>
                </c:pt>
                <c:pt idx="8">
                  <c:v>0.35921698097660393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19-4618-9DE5-8A7CD62B5F8C}"/>
            </c:ext>
          </c:extLst>
        </c:ser>
        <c:ser>
          <c:idx val="3"/>
          <c:order val="3"/>
          <c:tx>
            <c:strRef>
              <c:f>Results!$Q$21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Results!$R$21:$Z$21</c:f>
              <c:numCache>
                <c:formatCode>General</c:formatCode>
                <c:ptCount val="9"/>
                <c:pt idx="0">
                  <c:v>0.8125</c:v>
                </c:pt>
                <c:pt idx="1">
                  <c:v>0.79310344827586199</c:v>
                </c:pt>
                <c:pt idx="2">
                  <c:v>0.74999999999999989</c:v>
                </c:pt>
                <c:pt idx="3">
                  <c:v>0.68421052631578949</c:v>
                </c:pt>
                <c:pt idx="4">
                  <c:v>0.67391304347826086</c:v>
                </c:pt>
                <c:pt idx="5">
                  <c:v>0.64705882352941169</c:v>
                </c:pt>
                <c:pt idx="6">
                  <c:v>0.64705882352941169</c:v>
                </c:pt>
                <c:pt idx="7">
                  <c:v>0.625</c:v>
                </c:pt>
                <c:pt idx="8">
                  <c:v>0.61538461538461542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19-4618-9DE5-8A7CD62B5F8C}"/>
            </c:ext>
          </c:extLst>
        </c:ser>
        <c:ser>
          <c:idx val="4"/>
          <c:order val="4"/>
          <c:tx>
            <c:strRef>
              <c:f>Results!$Q$22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Results!$R$22:$Z$22</c:f>
              <c:numCache>
                <c:formatCode>General</c:formatCode>
                <c:ptCount val="9"/>
                <c:pt idx="0">
                  <c:v>0.89060699328217674</c:v>
                </c:pt>
                <c:pt idx="1">
                  <c:v>0.87929047534585014</c:v>
                </c:pt>
                <c:pt idx="2">
                  <c:v>0.85414265770956899</c:v>
                </c:pt>
                <c:pt idx="3">
                  <c:v>0.81575914658050819</c:v>
                </c:pt>
                <c:pt idx="4">
                  <c:v>0.80975129266465506</c:v>
                </c:pt>
                <c:pt idx="5">
                  <c:v>0.79408375206056792</c:v>
                </c:pt>
                <c:pt idx="6">
                  <c:v>0.79408375206056792</c:v>
                </c:pt>
                <c:pt idx="7">
                  <c:v>0.78121398656435348</c:v>
                </c:pt>
                <c:pt idx="8">
                  <c:v>0.77560408878395215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19-4618-9DE5-8A7CD62B5F8C}"/>
            </c:ext>
          </c:extLst>
        </c:ser>
        <c:ser>
          <c:idx val="5"/>
          <c:order val="5"/>
          <c:tx>
            <c:strRef>
              <c:f>Results!$Q$23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Results!$R$23:$Z$23</c:f>
              <c:numCache>
                <c:formatCode>General</c:formatCode>
                <c:ptCount val="9"/>
                <c:pt idx="0">
                  <c:v>0.93399879135396469</c:v>
                </c:pt>
                <c:pt idx="1">
                  <c:v>0.92717108011471949</c:v>
                </c:pt>
                <c:pt idx="2">
                  <c:v>0.91199838847195291</c:v>
                </c:pt>
                <c:pt idx="3">
                  <c:v>0.88884006964878259</c:v>
                </c:pt>
                <c:pt idx="4">
                  <c:v>0.88521528931124283</c:v>
                </c:pt>
                <c:pt idx="5">
                  <c:v>0.87576243078393345</c:v>
                </c:pt>
                <c:pt idx="6">
                  <c:v>0.87576243078393345</c:v>
                </c:pt>
                <c:pt idx="7">
                  <c:v>0.86799758270792937</c:v>
                </c:pt>
                <c:pt idx="8">
                  <c:v>0.86461290534146584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19-4618-9DE5-8A7CD62B5F8C}"/>
            </c:ext>
          </c:extLst>
        </c:ser>
        <c:ser>
          <c:idx val="6"/>
          <c:order val="6"/>
          <c:tx>
            <c:strRef>
              <c:f>Results!$Q$24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Results!$R$24:$Z$24</c:f>
              <c:numCache>
                <c:formatCode>General</c:formatCode>
                <c:ptCount val="9"/>
                <c:pt idx="0">
                  <c:v>0.56318337690080666</c:v>
                </c:pt>
                <c:pt idx="1">
                  <c:v>0.51799545037330397</c:v>
                </c:pt>
                <c:pt idx="2">
                  <c:v>0.41757783586774211</c:v>
                </c:pt>
                <c:pt idx="3">
                  <c:v>0.2643088453066218</c:v>
                </c:pt>
                <c:pt idx="4">
                  <c:v>0.24031891634922908</c:v>
                </c:pt>
                <c:pt idx="5">
                  <c:v>0.17775694475445958</c:v>
                </c:pt>
                <c:pt idx="6">
                  <c:v>0.17775694475445958</c:v>
                </c:pt>
                <c:pt idx="7">
                  <c:v>0.12636675380161339</c:v>
                </c:pt>
                <c:pt idx="8">
                  <c:v>0.10396590133498812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19-4618-9DE5-8A7CD62B5F8C}"/>
            </c:ext>
          </c:extLst>
        </c:ser>
        <c:ser>
          <c:idx val="7"/>
          <c:order val="7"/>
          <c:tx>
            <c:strRef>
              <c:f>Results!$Q$25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Results!$R$25:$Z$25</c:f>
              <c:numCache>
                <c:formatCode>General</c:formatCode>
                <c:ptCount val="9"/>
                <c:pt idx="0">
                  <c:v>0.60936841217640614</c:v>
                </c:pt>
                <c:pt idx="1">
                  <c:v>0.5689582479187929</c:v>
                </c:pt>
                <c:pt idx="2">
                  <c:v>0.47915788290187467</c:v>
                </c:pt>
                <c:pt idx="3">
                  <c:v>0.34209416787605235</c:v>
                </c:pt>
                <c:pt idx="4">
                  <c:v>0.32064071682853235</c:v>
                </c:pt>
                <c:pt idx="5">
                  <c:v>0.26469348174382301</c:v>
                </c:pt>
                <c:pt idx="6">
                  <c:v>0.26469348174382301</c:v>
                </c:pt>
                <c:pt idx="7">
                  <c:v>0.21873682435281228</c:v>
                </c:pt>
                <c:pt idx="8">
                  <c:v>0.19870443523365378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19-4618-9DE5-8A7CD62B5F8C}"/>
            </c:ext>
          </c:extLst>
        </c:ser>
        <c:ser>
          <c:idx val="8"/>
          <c:order val="8"/>
          <c:tx>
            <c:strRef>
              <c:f>Results!$Q$26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Results!$R$26:$Z$26</c:f>
              <c:numCache>
                <c:formatCode>General</c:formatCode>
                <c:ptCount val="9"/>
                <c:pt idx="0">
                  <c:v>9.9368231680922441E-3</c:v>
                </c:pt>
                <c:pt idx="1">
                  <c:v>2.8788634850491508E-2</c:v>
                </c:pt>
                <c:pt idx="2">
                  <c:v>4.3149753497371771E-3</c:v>
                </c:pt>
                <c:pt idx="3">
                  <c:v>1.356250836292089E-3</c:v>
                </c:pt>
                <c:pt idx="4">
                  <c:v>3.8495744811803443E-5</c:v>
                </c:pt>
                <c:pt idx="5">
                  <c:v>2.118794794219561E-3</c:v>
                </c:pt>
                <c:pt idx="6">
                  <c:v>2.118794794219561E-3</c:v>
                </c:pt>
                <c:pt idx="7">
                  <c:v>7.5591466365112743E-4</c:v>
                </c:pt>
                <c:pt idx="8">
                  <c:v>2.9579548027540382E-4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19-4618-9DE5-8A7CD62B5F8C}"/>
            </c:ext>
          </c:extLst>
        </c:ser>
        <c:ser>
          <c:idx val="9"/>
          <c:order val="9"/>
          <c:tx>
            <c:strRef>
              <c:f>Results!$Q$27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Results!$R$27:$Z$27</c:f>
              <c:numCache>
                <c:formatCode>General</c:formatCode>
                <c:ptCount val="9"/>
                <c:pt idx="0">
                  <c:v>0.59499999999999997</c:v>
                </c:pt>
                <c:pt idx="1">
                  <c:v>0.553103448275862</c:v>
                </c:pt>
                <c:pt idx="2">
                  <c:v>0.46</c:v>
                </c:pt>
                <c:pt idx="3">
                  <c:v>0.31789473684210512</c:v>
                </c:pt>
                <c:pt idx="4">
                  <c:v>0.29565217391304355</c:v>
                </c:pt>
                <c:pt idx="5">
                  <c:v>0.23764705882352935</c:v>
                </c:pt>
                <c:pt idx="6">
                  <c:v>0.23764705882352935</c:v>
                </c:pt>
                <c:pt idx="7">
                  <c:v>0.18999999999999995</c:v>
                </c:pt>
                <c:pt idx="8">
                  <c:v>0.1692307692307693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219-4618-9DE5-8A7CD62B5F8C}"/>
            </c:ext>
          </c:extLst>
        </c:ser>
        <c:ser>
          <c:idx val="10"/>
          <c:order val="10"/>
          <c:tx>
            <c:strRef>
              <c:f>Results!$Q$28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Results!$R$28:$Z$28</c:f>
              <c:numCache>
                <c:formatCode>General</c:formatCode>
                <c:ptCount val="9"/>
                <c:pt idx="0">
                  <c:v>0.60593750000000013</c:v>
                </c:pt>
                <c:pt idx="1">
                  <c:v>0.56517241379310346</c:v>
                </c:pt>
                <c:pt idx="2">
                  <c:v>0.47458333333333336</c:v>
                </c:pt>
                <c:pt idx="3">
                  <c:v>0.33631578947368423</c:v>
                </c:pt>
                <c:pt idx="4">
                  <c:v>0.31467391304347836</c:v>
                </c:pt>
                <c:pt idx="5">
                  <c:v>0.25823529411764701</c:v>
                </c:pt>
                <c:pt idx="6">
                  <c:v>0.25823529411764701</c:v>
                </c:pt>
                <c:pt idx="7">
                  <c:v>0.21187500000000029</c:v>
                </c:pt>
                <c:pt idx="8">
                  <c:v>0.19166666666666676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219-4618-9DE5-8A7CD62B5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910416"/>
        <c:axId val="297910976"/>
      </c:lineChart>
      <c:catAx>
        <c:axId val="29791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910976"/>
        <c:crosses val="autoZero"/>
        <c:auto val="1"/>
        <c:lblAlgn val="ctr"/>
        <c:lblOffset val="100"/>
        <c:noMultiLvlLbl val="0"/>
      </c:catAx>
      <c:valAx>
        <c:axId val="29791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91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Results!$Q$32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Results!$R$32:$Z$32</c:f>
              <c:numCache>
                <c:formatCode>General</c:formatCode>
                <c:ptCount val="9"/>
                <c:pt idx="0">
                  <c:v>11.433333333333334</c:v>
                </c:pt>
                <c:pt idx="1">
                  <c:v>48.140350877193377</c:v>
                </c:pt>
                <c:pt idx="2">
                  <c:v>3.2098930481283463</c:v>
                </c:pt>
                <c:pt idx="3">
                  <c:v>64.308014228917969</c:v>
                </c:pt>
                <c:pt idx="4">
                  <c:v>1.9313748401073993</c:v>
                </c:pt>
                <c:pt idx="5">
                  <c:v>3.1705058257950287</c:v>
                </c:pt>
                <c:pt idx="6">
                  <c:v>3.1705058257950287</c:v>
                </c:pt>
                <c:pt idx="7">
                  <c:v>5.165027658266748</c:v>
                </c:pt>
                <c:pt idx="8">
                  <c:v>6.676345454221881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E2-4719-979D-986210D0E986}"/>
            </c:ext>
          </c:extLst>
        </c:ser>
        <c:ser>
          <c:idx val="1"/>
          <c:order val="1"/>
          <c:tx>
            <c:strRef>
              <c:f>Results!$Q$33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Results!$R$33:$Z$33</c:f>
              <c:numCache>
                <c:formatCode>General</c:formatCode>
                <c:ptCount val="9"/>
                <c:pt idx="0">
                  <c:v>2.7222222222222223</c:v>
                </c:pt>
                <c:pt idx="1">
                  <c:v>3.2666666666666679</c:v>
                </c:pt>
                <c:pt idx="2">
                  <c:v>4.900000000000003</c:v>
                </c:pt>
                <c:pt idx="3">
                  <c:v>9.7999999999999972</c:v>
                </c:pt>
                <c:pt idx="4">
                  <c:v>11.13636363636364</c:v>
                </c:pt>
                <c:pt idx="5">
                  <c:v>16.333333333333357</c:v>
                </c:pt>
                <c:pt idx="6">
                  <c:v>16.333333333333357</c:v>
                </c:pt>
                <c:pt idx="7">
                  <c:v>24.5</c:v>
                </c:pt>
                <c:pt idx="8">
                  <c:v>30.624999999999975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E2-4719-979D-986210D0E986}"/>
            </c:ext>
          </c:extLst>
        </c:ser>
        <c:ser>
          <c:idx val="2"/>
          <c:order val="2"/>
          <c:tx>
            <c:strRef>
              <c:f>Results!$Q$34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Results!$R$34:$Z$34</c:f>
              <c:numCache>
                <c:formatCode>General</c:formatCode>
                <c:ptCount val="9"/>
                <c:pt idx="0">
                  <c:v>0.50641025641025639</c:v>
                </c:pt>
                <c:pt idx="1">
                  <c:v>0.6332590115198814</c:v>
                </c:pt>
                <c:pt idx="2">
                  <c:v>1.0500000000000003</c:v>
                </c:pt>
                <c:pt idx="3">
                  <c:v>2.7842490842490832</c:v>
                </c:pt>
                <c:pt idx="4">
                  <c:v>3.4636784196049</c:v>
                </c:pt>
                <c:pt idx="5">
                  <c:v>8.1666666666666803</c:v>
                </c:pt>
                <c:pt idx="6">
                  <c:v>0.75863115614145027</c:v>
                </c:pt>
                <c:pt idx="7">
                  <c:v>0.89444444444444438</c:v>
                </c:pt>
                <c:pt idx="8">
                  <c:v>0.96285261507669162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E2-4719-979D-986210D0E986}"/>
            </c:ext>
          </c:extLst>
        </c:ser>
        <c:ser>
          <c:idx val="3"/>
          <c:order val="3"/>
          <c:tx>
            <c:strRef>
              <c:f>Results!$Q$35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Results!$R$35:$Z$35</c:f>
              <c:numCache>
                <c:formatCode>General</c:formatCode>
                <c:ptCount val="9"/>
                <c:pt idx="0">
                  <c:v>0.66666666666666663</c:v>
                </c:pt>
                <c:pt idx="1">
                  <c:v>0.87521367521367566</c:v>
                </c:pt>
                <c:pt idx="2">
                  <c:v>1.6000000000000005</c:v>
                </c:pt>
                <c:pt idx="3">
                  <c:v>4.876190476190474</c:v>
                </c:pt>
                <c:pt idx="4">
                  <c:v>6.2015503875968969</c:v>
                </c:pt>
                <c:pt idx="5">
                  <c:v>15.515151515151542</c:v>
                </c:pt>
                <c:pt idx="6">
                  <c:v>0.81818181818181857</c:v>
                </c:pt>
                <c:pt idx="7">
                  <c:v>0.9</c:v>
                </c:pt>
                <c:pt idx="8">
                  <c:v>0.98820523015338335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E2-4719-979D-986210D0E986}"/>
            </c:ext>
          </c:extLst>
        </c:ser>
        <c:ser>
          <c:idx val="4"/>
          <c:order val="4"/>
          <c:tx>
            <c:strRef>
              <c:f>Results!$Q$36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Results!$R$36:$Z$36</c:f>
              <c:numCache>
                <c:formatCode>General</c:formatCode>
                <c:ptCount val="9"/>
                <c:pt idx="0">
                  <c:v>1.6315185629877937</c:v>
                </c:pt>
                <c:pt idx="1">
                  <c:v>1.8286176795686617</c:v>
                </c:pt>
                <c:pt idx="2">
                  <c:v>2.2900923199169121</c:v>
                </c:pt>
                <c:pt idx="3">
                  <c:v>3.0650096077372102</c:v>
                </c:pt>
                <c:pt idx="4">
                  <c:v>3.1949675219550215</c:v>
                </c:pt>
                <c:pt idx="5">
                  <c:v>3.5461267968080281</c:v>
                </c:pt>
                <c:pt idx="6">
                  <c:v>3.5461267968080281</c:v>
                </c:pt>
                <c:pt idx="7">
                  <c:v>3.8486895469732754</c:v>
                </c:pt>
                <c:pt idx="8">
                  <c:v>3.9848188769338311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E2-4719-979D-986210D0E986}"/>
            </c:ext>
          </c:extLst>
        </c:ser>
        <c:ser>
          <c:idx val="5"/>
          <c:order val="5"/>
          <c:tx>
            <c:strRef>
              <c:f>Results!$Q$37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Results!$R$37:$Z$37</c:f>
              <c:numCache>
                <c:formatCode>General</c:formatCode>
                <c:ptCount val="9"/>
                <c:pt idx="0">
                  <c:v>2.3443895641788068</c:v>
                </c:pt>
                <c:pt idx="1">
                  <c:v>2.6360905253365323</c:v>
                </c:pt>
                <c:pt idx="2">
                  <c:v>3.3257734870011828</c:v>
                </c:pt>
                <c:pt idx="3">
                  <c:v>4.5042159422974617</c:v>
                </c:pt>
                <c:pt idx="4">
                  <c:v>4.7042420187535567</c:v>
                </c:pt>
                <c:pt idx="5">
                  <c:v>5.2480452295245197</c:v>
                </c:pt>
                <c:pt idx="6">
                  <c:v>5.2480452295245197</c:v>
                </c:pt>
                <c:pt idx="7">
                  <c:v>5.7203788591724605</c:v>
                </c:pt>
                <c:pt idx="8">
                  <c:v>5.9340074507716842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CE2-4719-979D-986210D0E986}"/>
            </c:ext>
          </c:extLst>
        </c:ser>
        <c:ser>
          <c:idx val="6"/>
          <c:order val="6"/>
          <c:tx>
            <c:strRef>
              <c:f>Results!$Q$38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Results!$R$38:$Z$38</c:f>
              <c:numCache>
                <c:formatCode>General</c:formatCode>
                <c:ptCount val="9"/>
                <c:pt idx="0">
                  <c:v>1.5752855632317808</c:v>
                </c:pt>
                <c:pt idx="1">
                  <c:v>1.8987761244331431</c:v>
                </c:pt>
                <c:pt idx="2">
                  <c:v>2.8960009903201502</c:v>
                </c:pt>
                <c:pt idx="3">
                  <c:v>6.2844258229665453</c:v>
                </c:pt>
                <c:pt idx="4">
                  <c:v>7.3688681660660578</c:v>
                </c:pt>
                <c:pt idx="5">
                  <c:v>12.788695901223955</c:v>
                </c:pt>
                <c:pt idx="6">
                  <c:v>12.788695901223955</c:v>
                </c:pt>
                <c:pt idx="7">
                  <c:v>31.986338078492672</c:v>
                </c:pt>
                <c:pt idx="8">
                  <c:v>111.40587218755014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CE2-4719-979D-986210D0E986}"/>
            </c:ext>
          </c:extLst>
        </c:ser>
        <c:ser>
          <c:idx val="7"/>
          <c:order val="7"/>
          <c:tx>
            <c:strRef>
              <c:f>Results!$Q$39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Results!$R$39:$Z$39</c:f>
              <c:numCache>
                <c:formatCode>General</c:formatCode>
                <c:ptCount val="9"/>
                <c:pt idx="0">
                  <c:v>1.8684843624699274</c:v>
                </c:pt>
                <c:pt idx="1">
                  <c:v>2.2823558222113394</c:v>
                </c:pt>
                <c:pt idx="2">
                  <c:v>3.6180124223602492</c:v>
                </c:pt>
                <c:pt idx="3">
                  <c:v>8.7225081890500729</c:v>
                </c:pt>
                <c:pt idx="4">
                  <c:v>10.500225326723742</c:v>
                </c:pt>
                <c:pt idx="5">
                  <c:v>20.021482277121365</c:v>
                </c:pt>
                <c:pt idx="6">
                  <c:v>20.021482277121365</c:v>
                </c:pt>
                <c:pt idx="7">
                  <c:v>56.829268292683111</c:v>
                </c:pt>
                <c:pt idx="8">
                  <c:v>214.74654377880645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CE2-4719-979D-986210D0E986}"/>
            </c:ext>
          </c:extLst>
        </c:ser>
        <c:ser>
          <c:idx val="8"/>
          <c:order val="8"/>
          <c:tx>
            <c:strRef>
              <c:f>Results!$Q$40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Results!$R$40:$Z$40</c:f>
              <c:numCache>
                <c:formatCode>General</c:formatCode>
                <c:ptCount val="9"/>
                <c:pt idx="0">
                  <c:v>43.192419686936809</c:v>
                </c:pt>
                <c:pt idx="1">
                  <c:v>4.2081637285508329</c:v>
                </c:pt>
                <c:pt idx="2">
                  <c:v>31.922569990673693</c:v>
                </c:pt>
                <c:pt idx="3">
                  <c:v>33.908363655307141</c:v>
                </c:pt>
                <c:pt idx="4">
                  <c:v>1196.9890831386242</c:v>
                </c:pt>
                <c:pt idx="5">
                  <c:v>7.5063468077220712</c:v>
                </c:pt>
                <c:pt idx="6">
                  <c:v>7.5063468077220712</c:v>
                </c:pt>
                <c:pt idx="7">
                  <c:v>20.759241783470316</c:v>
                </c:pt>
                <c:pt idx="8">
                  <c:v>52.575367936474052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CE2-4719-979D-986210D0E986}"/>
            </c:ext>
          </c:extLst>
        </c:ser>
        <c:ser>
          <c:idx val="9"/>
          <c:order val="9"/>
          <c:tx>
            <c:strRef>
              <c:f>Results!$Q$41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Results!$R$41:$Z$41</c:f>
              <c:numCache>
                <c:formatCode>General</c:formatCode>
                <c:ptCount val="9"/>
                <c:pt idx="0">
                  <c:v>4.0840336134453779</c:v>
                </c:pt>
                <c:pt idx="1">
                  <c:v>4.8478802992518713</c:v>
                </c:pt>
                <c:pt idx="2">
                  <c:v>7.043478260869569</c:v>
                </c:pt>
                <c:pt idx="3">
                  <c:v>12.874172185430474</c:v>
                </c:pt>
                <c:pt idx="4">
                  <c:v>14.294117647058821</c:v>
                </c:pt>
                <c:pt idx="5">
                  <c:v>19.247524752475258</c:v>
                </c:pt>
                <c:pt idx="6">
                  <c:v>19.247524752475258</c:v>
                </c:pt>
                <c:pt idx="7">
                  <c:v>25.578947368421058</c:v>
                </c:pt>
                <c:pt idx="8">
                  <c:v>29.454545454545443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CE2-4719-979D-986210D0E986}"/>
            </c:ext>
          </c:extLst>
        </c:ser>
        <c:ser>
          <c:idx val="10"/>
          <c:order val="10"/>
          <c:tx>
            <c:strRef>
              <c:f>Results!$Q$42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Results!$R$42:$Z$42</c:f>
              <c:numCache>
                <c:formatCode>General</c:formatCode>
                <c:ptCount val="9"/>
                <c:pt idx="0">
                  <c:v>3.2516761217122205</c:v>
                </c:pt>
                <c:pt idx="1">
                  <c:v>3.8468578401464306</c:v>
                </c:pt>
                <c:pt idx="2">
                  <c:v>5.5355575065847225</c:v>
                </c:pt>
                <c:pt idx="3">
                  <c:v>9.8669796557120488</c:v>
                </c:pt>
                <c:pt idx="4">
                  <c:v>10.8894645941278</c:v>
                </c:pt>
                <c:pt idx="5">
                  <c:v>14.362186788154903</c:v>
                </c:pt>
                <c:pt idx="6">
                  <c:v>14.362186788154903</c:v>
                </c:pt>
                <c:pt idx="7">
                  <c:v>18.598820058997024</c:v>
                </c:pt>
                <c:pt idx="8">
                  <c:v>21.086956521739118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CE2-4719-979D-986210D0E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8154048"/>
        <c:axId val="298154608"/>
      </c:lineChart>
      <c:catAx>
        <c:axId val="29815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54608"/>
        <c:crosses val="autoZero"/>
        <c:auto val="1"/>
        <c:lblAlgn val="ctr"/>
        <c:lblOffset val="100"/>
        <c:noMultiLvlLbl val="0"/>
      </c:catAx>
      <c:valAx>
        <c:axId val="29815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5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Results!$Q$46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Results!$R$46:$Z$46</c:f>
              <c:numCache>
                <c:formatCode>General</c:formatCode>
                <c:ptCount val="9"/>
                <c:pt idx="0">
                  <c:v>5.7166666666666668</c:v>
                </c:pt>
                <c:pt idx="1">
                  <c:v>26.560193587417039</c:v>
                </c:pt>
                <c:pt idx="2">
                  <c:v>2.139928698752231</c:v>
                </c:pt>
                <c:pt idx="3">
                  <c:v>54.154117245404606</c:v>
                </c:pt>
                <c:pt idx="4">
                  <c:v>1.6794563827020863</c:v>
                </c:pt>
                <c:pt idx="5">
                  <c:v>2.9840054831012037</c:v>
                </c:pt>
                <c:pt idx="6">
                  <c:v>2.9840054831012037</c:v>
                </c:pt>
                <c:pt idx="7">
                  <c:v>5.165027658266748</c:v>
                </c:pt>
                <c:pt idx="8">
                  <c:v>6.847533799201929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E-4178-B298-EE3B95AEC39D}"/>
            </c:ext>
          </c:extLst>
        </c:ser>
        <c:ser>
          <c:idx val="1"/>
          <c:order val="1"/>
          <c:tx>
            <c:strRef>
              <c:f>Results!$Q$47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Results!$R$47:$Z$47</c:f>
              <c:numCache>
                <c:formatCode>General</c:formatCode>
                <c:ptCount val="9"/>
                <c:pt idx="0">
                  <c:v>0.34027777777777779</c:v>
                </c:pt>
                <c:pt idx="1">
                  <c:v>0.45057471264367843</c:v>
                </c:pt>
                <c:pt idx="2">
                  <c:v>0.81666666666666721</c:v>
                </c:pt>
                <c:pt idx="3">
                  <c:v>2.0631578947368414</c:v>
                </c:pt>
                <c:pt idx="4">
                  <c:v>2.4209486166007914</c:v>
                </c:pt>
                <c:pt idx="5">
                  <c:v>3.8431372549019667</c:v>
                </c:pt>
                <c:pt idx="6">
                  <c:v>3.8431372549019667</c:v>
                </c:pt>
                <c:pt idx="7">
                  <c:v>6.125</c:v>
                </c:pt>
                <c:pt idx="8">
                  <c:v>7.8525641025640951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2E-4178-B298-EE3B95AEC39D}"/>
            </c:ext>
          </c:extLst>
        </c:ser>
        <c:ser>
          <c:idx val="2"/>
          <c:order val="2"/>
          <c:tx>
            <c:strRef>
              <c:f>Results!$Q$48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Results!$R$48:$Z$48</c:f>
              <c:numCache>
                <c:formatCode>General</c:formatCode>
                <c:ptCount val="9"/>
                <c:pt idx="0">
                  <c:v>0.18830128205128205</c:v>
                </c:pt>
                <c:pt idx="1">
                  <c:v>0.26842476197798554</c:v>
                </c:pt>
                <c:pt idx="2">
                  <c:v>0.57500000000000018</c:v>
                </c:pt>
                <c:pt idx="3">
                  <c:v>2.1260073260073251</c:v>
                </c:pt>
                <c:pt idx="4">
                  <c:v>2.77521826108701</c:v>
                </c:pt>
                <c:pt idx="5">
                  <c:v>7.3975044563279999</c:v>
                </c:pt>
                <c:pt idx="6">
                  <c:v>0.42523574053954666</c:v>
                </c:pt>
                <c:pt idx="7">
                  <c:v>0.55694444444444435</c:v>
                </c:pt>
                <c:pt idx="8">
                  <c:v>0.62696422059147849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2E-4178-B298-EE3B95AEC39D}"/>
            </c:ext>
          </c:extLst>
        </c:ser>
        <c:ser>
          <c:idx val="3"/>
          <c:order val="3"/>
          <c:tx>
            <c:strRef>
              <c:f>Results!$Q$49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Results!$R$49:$Z$49</c:f>
              <c:numCache>
                <c:formatCode>General</c:formatCode>
                <c:ptCount val="9"/>
                <c:pt idx="0">
                  <c:v>0.33333333333333331</c:v>
                </c:pt>
                <c:pt idx="1">
                  <c:v>0.48287651046271768</c:v>
                </c:pt>
                <c:pt idx="2">
                  <c:v>1.0666666666666671</c:v>
                </c:pt>
                <c:pt idx="3">
                  <c:v>4.1062656641603992</c:v>
                </c:pt>
                <c:pt idx="4">
                  <c:v>5.3926525109538233</c:v>
                </c:pt>
                <c:pt idx="5">
                  <c:v>14.602495543672042</c:v>
                </c:pt>
                <c:pt idx="6">
                  <c:v>0.65795811209513599</c:v>
                </c:pt>
                <c:pt idx="7">
                  <c:v>0.88888888888888873</c:v>
                </c:pt>
                <c:pt idx="8">
                  <c:v>1.0135438257983418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2E-4178-B298-EE3B95AEC39D}"/>
            </c:ext>
          </c:extLst>
        </c:ser>
        <c:ser>
          <c:idx val="4"/>
          <c:order val="4"/>
          <c:tx>
            <c:strRef>
              <c:f>Results!$Q$50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Results!$R$50:$Z$50</c:f>
              <c:numCache>
                <c:formatCode>General</c:formatCode>
                <c:ptCount val="9"/>
                <c:pt idx="0">
                  <c:v>1.6108421204314684E-2</c:v>
                </c:pt>
                <c:pt idx="1">
                  <c:v>1.9953373774208728E-2</c:v>
                </c:pt>
                <c:pt idx="2">
                  <c:v>3.0303605395485201E-2</c:v>
                </c:pt>
                <c:pt idx="3">
                  <c:v>5.1529116406447431E-2</c:v>
                </c:pt>
                <c:pt idx="4">
                  <c:v>5.5518025122733683E-2</c:v>
                </c:pt>
                <c:pt idx="5">
                  <c:v>6.6862736430416181E-2</c:v>
                </c:pt>
                <c:pt idx="6">
                  <c:v>6.6862736430416181E-2</c:v>
                </c:pt>
                <c:pt idx="7">
                  <c:v>7.7267028639220706E-2</c:v>
                </c:pt>
                <c:pt idx="8">
                  <c:v>8.2128617778862351E-2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2E-4178-B298-EE3B95AEC39D}"/>
            </c:ext>
          </c:extLst>
        </c:ser>
        <c:ser>
          <c:idx val="5"/>
          <c:order val="5"/>
          <c:tx>
            <c:strRef>
              <c:f>Results!$Q$51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Results!$R$51:$Z$51</c:f>
              <c:numCache>
                <c:formatCode>General</c:formatCode>
                <c:ptCount val="9"/>
                <c:pt idx="0">
                  <c:v>2.755285399337391E-2</c:v>
                </c:pt>
                <c:pt idx="1">
                  <c:v>3.4186064833637009E-2</c:v>
                </c:pt>
                <c:pt idx="2">
                  <c:v>5.2115656716506718E-2</c:v>
                </c:pt>
                <c:pt idx="3">
                  <c:v>8.9156372919730859E-2</c:v>
                </c:pt>
                <c:pt idx="4">
                  <c:v>9.6152066691417903E-2</c:v>
                </c:pt>
                <c:pt idx="5">
                  <c:v>0.11610086022370381</c:v>
                </c:pt>
                <c:pt idx="6">
                  <c:v>0.11610086022370381</c:v>
                </c:pt>
                <c:pt idx="7">
                  <c:v>0.13445953343404363</c:v>
                </c:pt>
                <c:pt idx="8">
                  <c:v>0.14305738382426042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2E-4178-B298-EE3B95AEC39D}"/>
            </c:ext>
          </c:extLst>
        </c:ser>
        <c:ser>
          <c:idx val="6"/>
          <c:order val="6"/>
          <c:tx>
            <c:strRef>
              <c:f>Results!$Q$52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Results!$R$52:$Z$52</c:f>
              <c:numCache>
                <c:formatCode>General</c:formatCode>
                <c:ptCount val="9"/>
                <c:pt idx="0">
                  <c:v>0.35082615851669724</c:v>
                </c:pt>
                <c:pt idx="1">
                  <c:v>0.46738351258987532</c:v>
                </c:pt>
                <c:pt idx="2">
                  <c:v>0.86557833102781712</c:v>
                </c:pt>
                <c:pt idx="3">
                  <c:v>2.4065217567898944</c:v>
                </c:pt>
                <c:pt idx="4">
                  <c:v>2.9247529993822576</c:v>
                </c:pt>
                <c:pt idx="5">
                  <c:v>5.5721048953664365</c:v>
                </c:pt>
                <c:pt idx="6">
                  <c:v>5.5721048953664365</c:v>
                </c:pt>
                <c:pt idx="7">
                  <c:v>15.11953579304795</c:v>
                </c:pt>
                <c:pt idx="8">
                  <c:v>54.80690199511006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22E-4178-B298-EE3B95AEC39D}"/>
            </c:ext>
          </c:extLst>
        </c:ser>
        <c:ser>
          <c:idx val="7"/>
          <c:order val="7"/>
          <c:tx>
            <c:strRef>
              <c:f>Results!$Q$53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Results!$R$53:$Z$53</c:f>
              <c:numCache>
                <c:formatCode>General</c:formatCode>
                <c:ptCount val="9"/>
                <c:pt idx="0">
                  <c:v>0.45124052286017119</c:v>
                </c:pt>
                <c:pt idx="1">
                  <c:v>0.60821056393348438</c:v>
                </c:pt>
                <c:pt idx="2">
                  <c:v>1.1650040000137343</c:v>
                </c:pt>
                <c:pt idx="3">
                  <c:v>3.5477776172622275</c:v>
                </c:pt>
                <c:pt idx="4">
                  <c:v>4.4101097792317967</c:v>
                </c:pt>
                <c:pt idx="5">
                  <c:v>9.1015615463257777</c:v>
                </c:pt>
                <c:pt idx="6">
                  <c:v>9.1015615463257777</c:v>
                </c:pt>
                <c:pt idx="7">
                  <c:v>27.44863082959197</c:v>
                </c:pt>
                <c:pt idx="8">
                  <c:v>106.38249925683955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22E-4178-B298-EE3B95AEC39D}"/>
            </c:ext>
          </c:extLst>
        </c:ser>
        <c:ser>
          <c:idx val="8"/>
          <c:order val="8"/>
          <c:tx>
            <c:strRef>
              <c:f>Results!$Q$54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Results!$R$54:$Z$54</c:f>
              <c:numCache>
                <c:formatCode>General</c:formatCode>
                <c:ptCount val="9"/>
                <c:pt idx="0">
                  <c:v>20.675671398890564</c:v>
                </c:pt>
                <c:pt idx="1">
                  <c:v>2.2227811032393676</c:v>
                </c:pt>
                <c:pt idx="2">
                  <c:v>20.374580296547489</c:v>
                </c:pt>
                <c:pt idx="3">
                  <c:v>27.337279709052357</c:v>
                </c:pt>
                <c:pt idx="4">
                  <c:v>996.49341171290473</c:v>
                </c:pt>
                <c:pt idx="5">
                  <c:v>6.7636600235698063</c:v>
                </c:pt>
                <c:pt idx="6">
                  <c:v>6.7636600235698063</c:v>
                </c:pt>
                <c:pt idx="7">
                  <c:v>19.874379102449893</c:v>
                </c:pt>
                <c:pt idx="8">
                  <c:v>51.624967054545486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22E-4178-B298-EE3B95AEC39D}"/>
            </c:ext>
          </c:extLst>
        </c:ser>
        <c:ser>
          <c:idx val="9"/>
          <c:order val="9"/>
          <c:tx>
            <c:strRef>
              <c:f>Results!$Q$55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Results!$R$55:$Z$55</c:f>
              <c:numCache>
                <c:formatCode>General</c:formatCode>
                <c:ptCount val="9"/>
                <c:pt idx="0">
                  <c:v>0.27567226890756302</c:v>
                </c:pt>
                <c:pt idx="1">
                  <c:v>0.36108349815117391</c:v>
                </c:pt>
                <c:pt idx="2">
                  <c:v>0.63391304347826116</c:v>
                </c:pt>
                <c:pt idx="3">
                  <c:v>1.4635901010805172</c:v>
                </c:pt>
                <c:pt idx="4">
                  <c:v>1.6780051150895137</c:v>
                </c:pt>
                <c:pt idx="5">
                  <c:v>2.445567850902739</c:v>
                </c:pt>
                <c:pt idx="6">
                  <c:v>2.445567850902739</c:v>
                </c:pt>
                <c:pt idx="7">
                  <c:v>3.4531578947368433</c:v>
                </c:pt>
                <c:pt idx="8">
                  <c:v>4.078321678321676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22E-4178-B298-EE3B95AEC39D}"/>
            </c:ext>
          </c:extLst>
        </c:ser>
        <c:ser>
          <c:idx val="10"/>
          <c:order val="10"/>
          <c:tx>
            <c:strRef>
              <c:f>Results!$Q$56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Results!$R$56:$Z$56</c:f>
              <c:numCache>
                <c:formatCode>General</c:formatCode>
                <c:ptCount val="9"/>
                <c:pt idx="0">
                  <c:v>0.2562727243424443</c:v>
                </c:pt>
                <c:pt idx="1">
                  <c:v>0.33454398182238959</c:v>
                </c:pt>
                <c:pt idx="2">
                  <c:v>0.58169483465027794</c:v>
                </c:pt>
                <c:pt idx="3">
                  <c:v>1.309711720616094</c:v>
                </c:pt>
                <c:pt idx="4">
                  <c:v>1.4925668318690386</c:v>
                </c:pt>
                <c:pt idx="5">
                  <c:v>2.1306726517486276</c:v>
                </c:pt>
                <c:pt idx="6">
                  <c:v>2.1306726517486276</c:v>
                </c:pt>
                <c:pt idx="7">
                  <c:v>2.9316390117994051</c:v>
                </c:pt>
                <c:pt idx="8">
                  <c:v>3.4090579710144904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22E-4178-B298-EE3B95AEC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8163008"/>
        <c:axId val="298163568"/>
      </c:lineChart>
      <c:catAx>
        <c:axId val="29816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63568"/>
        <c:crosses val="autoZero"/>
        <c:auto val="1"/>
        <c:lblAlgn val="ctr"/>
        <c:lblOffset val="100"/>
        <c:noMultiLvlLbl val="0"/>
      </c:catAx>
      <c:valAx>
        <c:axId val="29816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6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Results!$Q$60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Results!$R$60:$Z$60</c:f>
              <c:numCache>
                <c:formatCode>General</c:formatCode>
                <c:ptCount val="9"/>
                <c:pt idx="0">
                  <c:v>14.933333333333334</c:v>
                </c:pt>
                <c:pt idx="1">
                  <c:v>51.640350877193377</c:v>
                </c:pt>
                <c:pt idx="2">
                  <c:v>6.7098930481283467</c:v>
                </c:pt>
                <c:pt idx="3">
                  <c:v>67.808014228917969</c:v>
                </c:pt>
                <c:pt idx="4">
                  <c:v>5.4313748401073996</c:v>
                </c:pt>
                <c:pt idx="5">
                  <c:v>6.6705058257950292</c:v>
                </c:pt>
                <c:pt idx="6">
                  <c:v>6.6705058257950292</c:v>
                </c:pt>
                <c:pt idx="7">
                  <c:v>8.665027658266748</c:v>
                </c:pt>
                <c:pt idx="8">
                  <c:v>10.176345454221881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F2-430F-89B5-98142D3296A4}"/>
            </c:ext>
          </c:extLst>
        </c:ser>
        <c:ser>
          <c:idx val="1"/>
          <c:order val="1"/>
          <c:tx>
            <c:strRef>
              <c:f>Results!$Q$61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Results!$R$61:$Z$61</c:f>
              <c:numCache>
                <c:formatCode>General</c:formatCode>
                <c:ptCount val="9"/>
                <c:pt idx="0">
                  <c:v>6.2222222222222223</c:v>
                </c:pt>
                <c:pt idx="1">
                  <c:v>6.7666666666666675</c:v>
                </c:pt>
                <c:pt idx="2">
                  <c:v>8.4000000000000021</c:v>
                </c:pt>
                <c:pt idx="3">
                  <c:v>13.299999999999997</c:v>
                </c:pt>
                <c:pt idx="4">
                  <c:v>14.63636363636364</c:v>
                </c:pt>
                <c:pt idx="5">
                  <c:v>19.833333333333357</c:v>
                </c:pt>
                <c:pt idx="6">
                  <c:v>19.833333333333357</c:v>
                </c:pt>
                <c:pt idx="7">
                  <c:v>28</c:v>
                </c:pt>
                <c:pt idx="8">
                  <c:v>34.124999999999972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F2-430F-89B5-98142D3296A4}"/>
            </c:ext>
          </c:extLst>
        </c:ser>
        <c:ser>
          <c:idx val="2"/>
          <c:order val="2"/>
          <c:tx>
            <c:strRef>
              <c:f>Results!$Q$62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Results!$R$62:$Z$62</c:f>
              <c:numCache>
                <c:formatCode>General</c:formatCode>
                <c:ptCount val="9"/>
                <c:pt idx="0">
                  <c:v>2.2564102564102564</c:v>
                </c:pt>
                <c:pt idx="1">
                  <c:v>2.3832590115198813</c:v>
                </c:pt>
                <c:pt idx="2">
                  <c:v>2.8000000000000003</c:v>
                </c:pt>
                <c:pt idx="3">
                  <c:v>4.5342490842490832</c:v>
                </c:pt>
                <c:pt idx="4">
                  <c:v>5.2136784196049</c:v>
                </c:pt>
                <c:pt idx="5">
                  <c:v>9.9166666666666821</c:v>
                </c:pt>
                <c:pt idx="6">
                  <c:v>2.5086311561414503</c:v>
                </c:pt>
                <c:pt idx="7">
                  <c:v>2.6444444444444444</c:v>
                </c:pt>
                <c:pt idx="8">
                  <c:v>2.7128526150766916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F2-430F-89B5-98142D3296A4}"/>
            </c:ext>
          </c:extLst>
        </c:ser>
        <c:ser>
          <c:idx val="3"/>
          <c:order val="3"/>
          <c:tx>
            <c:strRef>
              <c:f>Results!$Q$63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Results!$R$63:$Z$63</c:f>
              <c:numCache>
                <c:formatCode>General</c:formatCode>
                <c:ptCount val="9"/>
                <c:pt idx="0">
                  <c:v>2.6666666666666665</c:v>
                </c:pt>
                <c:pt idx="1">
                  <c:v>2.8752136752136757</c:v>
                </c:pt>
                <c:pt idx="2">
                  <c:v>3.6000000000000005</c:v>
                </c:pt>
                <c:pt idx="3">
                  <c:v>6.876190476190474</c:v>
                </c:pt>
                <c:pt idx="4">
                  <c:v>8.201550387596896</c:v>
                </c:pt>
                <c:pt idx="5">
                  <c:v>17.515151515151544</c:v>
                </c:pt>
                <c:pt idx="6">
                  <c:v>2.6990804941010822</c:v>
                </c:pt>
                <c:pt idx="7">
                  <c:v>2.8888888888888888</c:v>
                </c:pt>
                <c:pt idx="8">
                  <c:v>2.9882052301533832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F2-430F-89B5-98142D3296A4}"/>
            </c:ext>
          </c:extLst>
        </c:ser>
        <c:ser>
          <c:idx val="4"/>
          <c:order val="4"/>
          <c:tx>
            <c:strRef>
              <c:f>Results!$Q$64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Results!$R$64:$Z$64</c:f>
              <c:numCache>
                <c:formatCode>General</c:formatCode>
                <c:ptCount val="9"/>
                <c:pt idx="0">
                  <c:v>14.631518562987793</c:v>
                </c:pt>
                <c:pt idx="1">
                  <c:v>14.828617679568662</c:v>
                </c:pt>
                <c:pt idx="2">
                  <c:v>15.290092319916912</c:v>
                </c:pt>
                <c:pt idx="3">
                  <c:v>16.06500960773721</c:v>
                </c:pt>
                <c:pt idx="4">
                  <c:v>16.194967521955022</c:v>
                </c:pt>
                <c:pt idx="5">
                  <c:v>16.546126796808029</c:v>
                </c:pt>
                <c:pt idx="6">
                  <c:v>16.546126796808029</c:v>
                </c:pt>
                <c:pt idx="7">
                  <c:v>16.848689546973276</c:v>
                </c:pt>
                <c:pt idx="8">
                  <c:v>16.984818876933829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F2-430F-89B5-98142D3296A4}"/>
            </c:ext>
          </c:extLst>
        </c:ser>
        <c:ser>
          <c:idx val="5"/>
          <c:order val="5"/>
          <c:tx>
            <c:strRef>
              <c:f>Results!$Q$65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Results!$R$65:$Z$65</c:f>
              <c:numCache>
                <c:formatCode>General</c:formatCode>
                <c:ptCount val="9"/>
                <c:pt idx="0">
                  <c:v>15.344389564178806</c:v>
                </c:pt>
                <c:pt idx="1">
                  <c:v>15.636090525336533</c:v>
                </c:pt>
                <c:pt idx="2">
                  <c:v>16.325773487001182</c:v>
                </c:pt>
                <c:pt idx="3">
                  <c:v>17.504215942297463</c:v>
                </c:pt>
                <c:pt idx="4">
                  <c:v>17.704242018753558</c:v>
                </c:pt>
                <c:pt idx="5">
                  <c:v>18.248045229524521</c:v>
                </c:pt>
                <c:pt idx="6">
                  <c:v>18.248045229524521</c:v>
                </c:pt>
                <c:pt idx="7">
                  <c:v>18.72037885917246</c:v>
                </c:pt>
                <c:pt idx="8">
                  <c:v>18.934007450771684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2F2-430F-89B5-98142D3296A4}"/>
            </c:ext>
          </c:extLst>
        </c:ser>
        <c:ser>
          <c:idx val="6"/>
          <c:order val="6"/>
          <c:tx>
            <c:strRef>
              <c:f>Results!$Q$66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Results!$R$66:$Z$66</c:f>
              <c:numCache>
                <c:formatCode>General</c:formatCode>
                <c:ptCount val="9"/>
                <c:pt idx="0">
                  <c:v>3.5752855632317808</c:v>
                </c:pt>
                <c:pt idx="1">
                  <c:v>3.8987761244331431</c:v>
                </c:pt>
                <c:pt idx="2">
                  <c:v>4.8960009903201502</c:v>
                </c:pt>
                <c:pt idx="3">
                  <c:v>8.2844258229665453</c:v>
                </c:pt>
                <c:pt idx="4">
                  <c:v>9.3688681660660578</c:v>
                </c:pt>
                <c:pt idx="5">
                  <c:v>14.788695901223955</c:v>
                </c:pt>
                <c:pt idx="6">
                  <c:v>14.788695901223955</c:v>
                </c:pt>
                <c:pt idx="7">
                  <c:v>33.986338078492672</c:v>
                </c:pt>
                <c:pt idx="8">
                  <c:v>113.40587218755014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2F2-430F-89B5-98142D3296A4}"/>
            </c:ext>
          </c:extLst>
        </c:ser>
        <c:ser>
          <c:idx val="7"/>
          <c:order val="7"/>
          <c:tx>
            <c:strRef>
              <c:f>Results!$Q$67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Results!$R$67:$Z$67</c:f>
              <c:numCache>
                <c:formatCode>General</c:formatCode>
                <c:ptCount val="9"/>
                <c:pt idx="0">
                  <c:v>3.8684843624699274</c:v>
                </c:pt>
                <c:pt idx="1">
                  <c:v>4.2823558222113398</c:v>
                </c:pt>
                <c:pt idx="2">
                  <c:v>5.6180124223602492</c:v>
                </c:pt>
                <c:pt idx="3">
                  <c:v>10.722508189050073</c:v>
                </c:pt>
                <c:pt idx="4">
                  <c:v>12.500225326723742</c:v>
                </c:pt>
                <c:pt idx="5">
                  <c:v>22.021482277121365</c:v>
                </c:pt>
                <c:pt idx="6">
                  <c:v>22.021482277121365</c:v>
                </c:pt>
                <c:pt idx="7">
                  <c:v>58.829268292683111</c:v>
                </c:pt>
                <c:pt idx="8">
                  <c:v>216.74654377880645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2F2-430F-89B5-98142D3296A4}"/>
            </c:ext>
          </c:extLst>
        </c:ser>
        <c:ser>
          <c:idx val="8"/>
          <c:order val="8"/>
          <c:tx>
            <c:strRef>
              <c:f>Results!$Q$68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Results!$R$68:$Z$68</c:f>
              <c:numCache>
                <c:formatCode>General</c:formatCode>
                <c:ptCount val="9"/>
                <c:pt idx="0">
                  <c:v>49.192419686936809</c:v>
                </c:pt>
                <c:pt idx="1">
                  <c:v>10.208163728550833</c:v>
                </c:pt>
                <c:pt idx="2">
                  <c:v>37.922569990673693</c:v>
                </c:pt>
                <c:pt idx="3">
                  <c:v>39.908363655307141</c:v>
                </c:pt>
                <c:pt idx="4">
                  <c:v>1202.9890831386242</c:v>
                </c:pt>
                <c:pt idx="5">
                  <c:v>13.506346807722071</c:v>
                </c:pt>
                <c:pt idx="6">
                  <c:v>13.506346807722071</c:v>
                </c:pt>
                <c:pt idx="7">
                  <c:v>26.759241783470316</c:v>
                </c:pt>
                <c:pt idx="8">
                  <c:v>58.575367936474052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2F2-430F-89B5-98142D3296A4}"/>
            </c:ext>
          </c:extLst>
        </c:ser>
        <c:ser>
          <c:idx val="9"/>
          <c:order val="9"/>
          <c:tx>
            <c:strRef>
              <c:f>Results!$Q$69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Results!$R$69:$Z$69</c:f>
              <c:numCache>
                <c:formatCode>General</c:formatCode>
                <c:ptCount val="9"/>
                <c:pt idx="0">
                  <c:v>10.084033613445378</c:v>
                </c:pt>
                <c:pt idx="1">
                  <c:v>10.847880299251871</c:v>
                </c:pt>
                <c:pt idx="2">
                  <c:v>13.04347826086957</c:v>
                </c:pt>
                <c:pt idx="3">
                  <c:v>18.874172185430474</c:v>
                </c:pt>
                <c:pt idx="4">
                  <c:v>20.294117647058819</c:v>
                </c:pt>
                <c:pt idx="5">
                  <c:v>25.247524752475258</c:v>
                </c:pt>
                <c:pt idx="6">
                  <c:v>25.247524752475258</c:v>
                </c:pt>
                <c:pt idx="7">
                  <c:v>31.578947368421058</c:v>
                </c:pt>
                <c:pt idx="8">
                  <c:v>35.454545454545439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2F2-430F-89B5-98142D3296A4}"/>
            </c:ext>
          </c:extLst>
        </c:ser>
        <c:ser>
          <c:idx val="10"/>
          <c:order val="10"/>
          <c:tx>
            <c:strRef>
              <c:f>Results!$Q$70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Results!$R$3:$Z$3</c:f>
              <c:strCache>
                <c:ptCount val="9"/>
                <c:pt idx="0">
                  <c:v> 2, 1, 1.5, 1, 1, 3, 1,1.6</c:v>
                </c:pt>
                <c:pt idx="1">
                  <c:v> 2, 1, 1.5, 1, 1, 4, 1,1.45</c:v>
                </c:pt>
                <c:pt idx="2">
                  <c:v> 3, 1, 1.5, 1, 1, 4, 1,1.2</c:v>
                </c:pt>
                <c:pt idx="3">
                  <c:v> 3, 1, 1.5, 1, 1, 5, 1,0.95</c:v>
                </c:pt>
                <c:pt idx="4">
                  <c:v> 4, 1, 1.5, 1, 1, 5, 1,0.92</c:v>
                </c:pt>
                <c:pt idx="5">
                  <c:v> 4, 1, 1.5, 1, 1, 6, 1,0.85</c:v>
                </c:pt>
                <c:pt idx="6">
                  <c:v> 4, 1, 2, 1, 1, 6, 1,0.85</c:v>
                </c:pt>
                <c:pt idx="7">
                  <c:v> 4, 1, 2, 1, 1, 6, 1,0.8</c:v>
                </c:pt>
                <c:pt idx="8">
                  <c:v> 4, 1, 2, 1, 1, 6, 1,0.78</c:v>
                </c:pt>
              </c:strCache>
            </c:strRef>
          </c:cat>
          <c:val>
            <c:numRef>
              <c:f>Results!$R$70:$Z$70</c:f>
              <c:numCache>
                <c:formatCode>General</c:formatCode>
                <c:ptCount val="9"/>
                <c:pt idx="0">
                  <c:v>8.2516761217122205</c:v>
                </c:pt>
                <c:pt idx="1">
                  <c:v>8.8468578401464306</c:v>
                </c:pt>
                <c:pt idx="2">
                  <c:v>10.535557506584723</c:v>
                </c:pt>
                <c:pt idx="3">
                  <c:v>14.866979655712049</c:v>
                </c:pt>
                <c:pt idx="4">
                  <c:v>15.8894645941278</c:v>
                </c:pt>
                <c:pt idx="5">
                  <c:v>19.362186788154901</c:v>
                </c:pt>
                <c:pt idx="6">
                  <c:v>19.362186788154901</c:v>
                </c:pt>
                <c:pt idx="7">
                  <c:v>23.598820058997024</c:v>
                </c:pt>
                <c:pt idx="8">
                  <c:v>26.086956521739118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2F2-430F-89B5-98142D329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701200"/>
        <c:axId val="299701760"/>
      </c:lineChart>
      <c:catAx>
        <c:axId val="29970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01760"/>
        <c:crosses val="autoZero"/>
        <c:auto val="1"/>
        <c:lblAlgn val="ctr"/>
        <c:lblOffset val="100"/>
        <c:noMultiLvlLbl val="0"/>
      </c:catAx>
      <c:valAx>
        <c:axId val="29970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0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Results!$A$32</c:f>
              <c:strCache>
                <c:ptCount val="1"/>
                <c:pt idx="0">
                  <c:v>Labeler Small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Results!$B$32:$G$32</c:f>
              <c:numCache>
                <c:formatCode>0.000</c:formatCode>
                <c:ptCount val="6"/>
                <c:pt idx="0">
                  <c:v>1.2870544090056282</c:v>
                </c:pt>
                <c:pt idx="1">
                  <c:v>1.2870544090056282</c:v>
                </c:pt>
                <c:pt idx="2" formatCode="General">
                  <c:v>0.17717677552658156</c:v>
                </c:pt>
                <c:pt idx="3" formatCode="General">
                  <c:v>0.17717677552658156</c:v>
                </c:pt>
                <c:pt idx="4" formatCode="General">
                  <c:v>2.7196673031489687E-2</c:v>
                </c:pt>
                <c:pt idx="5" formatCode="General">
                  <c:v>2.7196673031489687E-2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B-4828-86F0-4DE7460FAAEE}"/>
            </c:ext>
          </c:extLst>
        </c:ser>
        <c:ser>
          <c:idx val="1"/>
          <c:order val="1"/>
          <c:tx>
            <c:strRef>
              <c:f>Results!$A$33</c:f>
              <c:strCache>
                <c:ptCount val="1"/>
                <c:pt idx="0">
                  <c:v>Labeler Big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Results!$B$33:$G$33</c:f>
              <c:numCache>
                <c:formatCode>0.000</c:formatCode>
                <c:ptCount val="6"/>
                <c:pt idx="0">
                  <c:v>1.2249999999999999</c:v>
                </c:pt>
                <c:pt idx="1">
                  <c:v>1.2249999999999999</c:v>
                </c:pt>
                <c:pt idx="2" formatCode="General">
                  <c:v>1.2249999999999999</c:v>
                </c:pt>
                <c:pt idx="3" formatCode="General">
                  <c:v>1.2249999999999999</c:v>
                </c:pt>
                <c:pt idx="4" formatCode="General">
                  <c:v>1.2249999999999999</c:v>
                </c:pt>
                <c:pt idx="5" formatCode="General">
                  <c:v>1.2249999999999999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DB-4828-86F0-4DE7460FAAEE}"/>
            </c:ext>
          </c:extLst>
        </c:ser>
        <c:ser>
          <c:idx val="2"/>
          <c:order val="2"/>
          <c:tx>
            <c:strRef>
              <c:f>Results!$A$34</c:f>
              <c:strCache>
                <c:ptCount val="1"/>
                <c:pt idx="0">
                  <c:v>Av weight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Results!$B$34:$G$34</c:f>
              <c:numCache>
                <c:formatCode>0.000</c:formatCode>
                <c:ptCount val="6"/>
                <c:pt idx="0">
                  <c:v>0.18999060150375938</c:v>
                </c:pt>
                <c:pt idx="1">
                  <c:v>0.18999060150375938</c:v>
                </c:pt>
                <c:pt idx="2" formatCode="General">
                  <c:v>0.18999060150375938</c:v>
                </c:pt>
                <c:pt idx="3" formatCode="General">
                  <c:v>0.18999060150375938</c:v>
                </c:pt>
                <c:pt idx="4" formatCode="General">
                  <c:v>0.18999060150375938</c:v>
                </c:pt>
                <c:pt idx="5" formatCode="General">
                  <c:v>0.18999060150375938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DB-4828-86F0-4DE7460FAAEE}"/>
            </c:ext>
          </c:extLst>
        </c:ser>
        <c:ser>
          <c:idx val="3"/>
          <c:order val="3"/>
          <c:tx>
            <c:strRef>
              <c:f>Results!$A$35</c:f>
              <c:strCache>
                <c:ptCount val="1"/>
                <c:pt idx="0">
                  <c:v>Max weight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Results!$B$35:$G$35</c:f>
              <c:numCache>
                <c:formatCode>0.000</c:formatCode>
                <c:ptCount val="6"/>
                <c:pt idx="0">
                  <c:v>0.19248120300751875</c:v>
                </c:pt>
                <c:pt idx="1">
                  <c:v>0.19248120300751875</c:v>
                </c:pt>
                <c:pt idx="2" formatCode="General">
                  <c:v>0.19248120300751875</c:v>
                </c:pt>
                <c:pt idx="3" formatCode="General">
                  <c:v>0.19248120300751875</c:v>
                </c:pt>
                <c:pt idx="4" formatCode="General">
                  <c:v>0.19248120300751875</c:v>
                </c:pt>
                <c:pt idx="5" formatCode="General">
                  <c:v>0.19248120300751875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DB-4828-86F0-4DE7460FAAEE}"/>
            </c:ext>
          </c:extLst>
        </c:ser>
        <c:ser>
          <c:idx val="4"/>
          <c:order val="4"/>
          <c:tx>
            <c:strRef>
              <c:f>Results!$A$36</c:f>
              <c:strCache>
                <c:ptCount val="1"/>
                <c:pt idx="0">
                  <c:v>Av Uber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Results!$B$36:$G$36</c:f>
              <c:numCache>
                <c:formatCode>0.000</c:formatCode>
                <c:ptCount val="6"/>
                <c:pt idx="0">
                  <c:v>0.91166643278921133</c:v>
                </c:pt>
                <c:pt idx="1">
                  <c:v>0.91166643278921133</c:v>
                </c:pt>
                <c:pt idx="2" formatCode="General">
                  <c:v>0.91166643278921133</c:v>
                </c:pt>
                <c:pt idx="3" formatCode="General">
                  <c:v>0.91166643278921133</c:v>
                </c:pt>
                <c:pt idx="4" formatCode="General">
                  <c:v>0.91166643278921133</c:v>
                </c:pt>
                <c:pt idx="5" formatCode="General">
                  <c:v>0.91166643278921133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DB-4828-86F0-4DE7460FAAEE}"/>
            </c:ext>
          </c:extLst>
        </c:ser>
        <c:ser>
          <c:idx val="5"/>
          <c:order val="5"/>
          <c:tx>
            <c:strRef>
              <c:f>Results!$A$37</c:f>
              <c:strCache>
                <c:ptCount val="1"/>
                <c:pt idx="0">
                  <c:v>Max Uber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Results!$B$37:$G$37</c:f>
              <c:numCache>
                <c:formatCode>0.000</c:formatCode>
                <c:ptCount val="6"/>
                <c:pt idx="0">
                  <c:v>1.2941830956411848</c:v>
                </c:pt>
                <c:pt idx="1">
                  <c:v>1.2941830956411848</c:v>
                </c:pt>
                <c:pt idx="2" formatCode="General">
                  <c:v>1.2941830956411848</c:v>
                </c:pt>
                <c:pt idx="3" formatCode="General">
                  <c:v>1.2941830956411848</c:v>
                </c:pt>
                <c:pt idx="4" formatCode="General">
                  <c:v>1.2941830956411848</c:v>
                </c:pt>
                <c:pt idx="5" formatCode="General">
                  <c:v>1.2941830956411848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DB-4828-86F0-4DE7460FAAEE}"/>
            </c:ext>
          </c:extLst>
        </c:ser>
        <c:ser>
          <c:idx val="6"/>
          <c:order val="6"/>
          <c:tx>
            <c:strRef>
              <c:f>Results!$A$38</c:f>
              <c:strCache>
                <c:ptCount val="1"/>
                <c:pt idx="0">
                  <c:v>Av Verify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Results!$B$38:$G$38</c:f>
              <c:numCache>
                <c:formatCode>0.000</c:formatCode>
                <c:ptCount val="6"/>
                <c:pt idx="0">
                  <c:v>0.70220962205535276</c:v>
                </c:pt>
                <c:pt idx="1">
                  <c:v>0.70220962205535276</c:v>
                </c:pt>
                <c:pt idx="2" formatCode="General">
                  <c:v>0.70220962205535276</c:v>
                </c:pt>
                <c:pt idx="3" formatCode="General">
                  <c:v>0.70220962205535276</c:v>
                </c:pt>
                <c:pt idx="4" formatCode="General">
                  <c:v>0.70220962205535276</c:v>
                </c:pt>
                <c:pt idx="5" formatCode="General">
                  <c:v>0.70220962205535276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0DB-4828-86F0-4DE7460FAAEE}"/>
            </c:ext>
          </c:extLst>
        </c:ser>
        <c:ser>
          <c:idx val="7"/>
          <c:order val="7"/>
          <c:tx>
            <c:strRef>
              <c:f>Results!$A$39</c:f>
              <c:strCache>
                <c:ptCount val="1"/>
                <c:pt idx="0">
                  <c:v>Max Verify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Results!$B$39:$G$39</c:f>
              <c:numCache>
                <c:formatCode>0.000</c:formatCode>
                <c:ptCount val="6"/>
                <c:pt idx="0">
                  <c:v>0.80199638585319666</c:v>
                </c:pt>
                <c:pt idx="1">
                  <c:v>0.80199638585319666</c:v>
                </c:pt>
                <c:pt idx="2" formatCode="General">
                  <c:v>0.80199638585319666</c:v>
                </c:pt>
                <c:pt idx="3" formatCode="General">
                  <c:v>0.80199638585319666</c:v>
                </c:pt>
                <c:pt idx="4" formatCode="General">
                  <c:v>0.80199638585319666</c:v>
                </c:pt>
                <c:pt idx="5" formatCode="General">
                  <c:v>0.80199638585319666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0DB-4828-86F0-4DE7460FAAEE}"/>
            </c:ext>
          </c:extLst>
        </c:ser>
        <c:ser>
          <c:idx val="8"/>
          <c:order val="8"/>
          <c:tx>
            <c:strRef>
              <c:f>Results!$A$40</c:f>
              <c:strCache>
                <c:ptCount val="1"/>
                <c:pt idx="0">
                  <c:v>Baggers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Results!$B$40:$G$40</c:f>
              <c:numCache>
                <c:formatCode>0.000</c:formatCode>
                <c:ptCount val="6"/>
                <c:pt idx="0">
                  <c:v>1.4511847453706939</c:v>
                </c:pt>
                <c:pt idx="1">
                  <c:v>0.28473884295476465</c:v>
                </c:pt>
                <c:pt idx="2" formatCode="General">
                  <c:v>0.28473884295476465</c:v>
                </c:pt>
                <c:pt idx="3" formatCode="General">
                  <c:v>5.9662156810107482E-2</c:v>
                </c:pt>
                <c:pt idx="4" formatCode="General">
                  <c:v>5.9662156810107482E-2</c:v>
                </c:pt>
                <c:pt idx="5" formatCode="General">
                  <c:v>1.1989096056742685E-2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0DB-4828-86F0-4DE7460FAAEE}"/>
            </c:ext>
          </c:extLst>
        </c:ser>
        <c:ser>
          <c:idx val="9"/>
          <c:order val="9"/>
          <c:tx>
            <c:strRef>
              <c:f>Results!$A$41</c:f>
              <c:strCache>
                <c:ptCount val="1"/>
                <c:pt idx="0">
                  <c:v>Bagger Multiple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Results!$B$41:$G$41</c:f>
              <c:numCache>
                <c:formatCode>0.000</c:formatCode>
                <c:ptCount val="6"/>
                <c:pt idx="0">
                  <c:v>1.8947368421052633</c:v>
                </c:pt>
                <c:pt idx="1">
                  <c:v>1.8947368421052633</c:v>
                </c:pt>
                <c:pt idx="2" formatCode="General">
                  <c:v>1.8947368421052633</c:v>
                </c:pt>
                <c:pt idx="3" formatCode="General">
                  <c:v>1.8947368421052633</c:v>
                </c:pt>
                <c:pt idx="4" formatCode="General">
                  <c:v>1.8947368421052633</c:v>
                </c:pt>
                <c:pt idx="5" formatCode="General">
                  <c:v>1.8947368421052633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0DB-4828-86F0-4DE7460FAAEE}"/>
            </c:ext>
          </c:extLst>
        </c:ser>
        <c:ser>
          <c:idx val="10"/>
          <c:order val="10"/>
          <c:tx>
            <c:strRef>
              <c:f>Results!$A$42</c:f>
              <c:strCache>
                <c:ptCount val="1"/>
                <c:pt idx="0">
                  <c:v>Depucker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Results!$B$42:$G$42</c:f>
              <c:numCache>
                <c:formatCode>0.000</c:formatCode>
                <c:ptCount val="6"/>
                <c:pt idx="0">
                  <c:v>1.5233148103406615</c:v>
                </c:pt>
                <c:pt idx="1">
                  <c:v>1.5233148103406615</c:v>
                </c:pt>
                <c:pt idx="2" formatCode="General">
                  <c:v>1.5233148103406615</c:v>
                </c:pt>
                <c:pt idx="3" formatCode="General">
                  <c:v>1.5233148103406615</c:v>
                </c:pt>
                <c:pt idx="4" formatCode="General">
                  <c:v>1.5233148103406615</c:v>
                </c:pt>
                <c:pt idx="5" formatCode="General">
                  <c:v>1.5233148103406615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0DB-4828-86F0-4DE7460FA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4347680"/>
        <c:axId val="784347120"/>
      </c:lineChart>
      <c:catAx>
        <c:axId val="78434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347120"/>
        <c:crosses val="autoZero"/>
        <c:auto val="1"/>
        <c:lblAlgn val="ctr"/>
        <c:lblOffset val="100"/>
        <c:noMultiLvlLbl val="0"/>
      </c:catAx>
      <c:valAx>
        <c:axId val="78434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34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Results!$A$46</c:f>
              <c:strCache>
                <c:ptCount val="1"/>
                <c:pt idx="0">
                  <c:v>Labeler Small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Results!$B$46:$G$46</c:f>
              <c:numCache>
                <c:formatCode>0.000</c:formatCode>
                <c:ptCount val="6"/>
                <c:pt idx="0">
                  <c:v>0.38134945452018609</c:v>
                </c:pt>
                <c:pt idx="1">
                  <c:v>0.38134945452018609</c:v>
                </c:pt>
                <c:pt idx="2" formatCode="General">
                  <c:v>5.2496822378246384E-2</c:v>
                </c:pt>
                <c:pt idx="3" formatCode="General">
                  <c:v>5.2496822378246384E-2</c:v>
                </c:pt>
                <c:pt idx="4" formatCode="General">
                  <c:v>8.0582734908117588E-3</c:v>
                </c:pt>
                <c:pt idx="5" formatCode="General">
                  <c:v>8.0582734908117588E-3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5-4D4C-9E58-EB0B7A26BEDA}"/>
            </c:ext>
          </c:extLst>
        </c:ser>
        <c:ser>
          <c:idx val="1"/>
          <c:order val="1"/>
          <c:tx>
            <c:strRef>
              <c:f>Results!$A$47</c:f>
              <c:strCache>
                <c:ptCount val="1"/>
                <c:pt idx="0">
                  <c:v>Labeler Big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Results!$B$47:$G$47</c:f>
              <c:numCache>
                <c:formatCode>0.000</c:formatCode>
                <c:ptCount val="6"/>
                <c:pt idx="0">
                  <c:v>9.0740740740740733E-2</c:v>
                </c:pt>
                <c:pt idx="1">
                  <c:v>9.0740740740740733E-2</c:v>
                </c:pt>
                <c:pt idx="2" formatCode="General">
                  <c:v>9.0740740740740733E-2</c:v>
                </c:pt>
                <c:pt idx="3" formatCode="General">
                  <c:v>9.0740740740740733E-2</c:v>
                </c:pt>
                <c:pt idx="4" formatCode="General">
                  <c:v>9.0740740740740733E-2</c:v>
                </c:pt>
                <c:pt idx="5" formatCode="General">
                  <c:v>9.0740740740740733E-2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B5-4D4C-9E58-EB0B7A26BEDA}"/>
            </c:ext>
          </c:extLst>
        </c:ser>
        <c:ser>
          <c:idx val="2"/>
          <c:order val="2"/>
          <c:tx>
            <c:strRef>
              <c:f>Results!$A$48</c:f>
              <c:strCache>
                <c:ptCount val="1"/>
                <c:pt idx="0">
                  <c:v>Av weight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Results!$B$48:$G$48</c:f>
              <c:numCache>
                <c:formatCode>0.000</c:formatCode>
                <c:ptCount val="6"/>
                <c:pt idx="0">
                  <c:v>3.5460178223336108E-2</c:v>
                </c:pt>
                <c:pt idx="1">
                  <c:v>3.5460178223336108E-2</c:v>
                </c:pt>
                <c:pt idx="2" formatCode="General">
                  <c:v>3.5460178223336108E-2</c:v>
                </c:pt>
                <c:pt idx="3" formatCode="General">
                  <c:v>3.5460178223336108E-2</c:v>
                </c:pt>
                <c:pt idx="4" formatCode="General">
                  <c:v>3.5460178223336108E-2</c:v>
                </c:pt>
                <c:pt idx="5" formatCode="General">
                  <c:v>3.5460178223336108E-2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B5-4D4C-9E58-EB0B7A26BEDA}"/>
            </c:ext>
          </c:extLst>
        </c:ser>
        <c:ser>
          <c:idx val="3"/>
          <c:order val="3"/>
          <c:tx>
            <c:strRef>
              <c:f>Results!$A$49</c:f>
              <c:strCache>
                <c:ptCount val="1"/>
                <c:pt idx="0">
                  <c:v>Max weight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Results!$B$49:$G$49</c:f>
              <c:numCache>
                <c:formatCode>0.000</c:formatCode>
                <c:ptCount val="6"/>
                <c:pt idx="0">
                  <c:v>5.7031467557783329E-2</c:v>
                </c:pt>
                <c:pt idx="1">
                  <c:v>5.7031467557783329E-2</c:v>
                </c:pt>
                <c:pt idx="2" formatCode="General">
                  <c:v>5.7031467557783329E-2</c:v>
                </c:pt>
                <c:pt idx="3" formatCode="General">
                  <c:v>5.7031467557783329E-2</c:v>
                </c:pt>
                <c:pt idx="4" formatCode="General">
                  <c:v>5.7031467557783329E-2</c:v>
                </c:pt>
                <c:pt idx="5" formatCode="General">
                  <c:v>5.7031467557783329E-2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B5-4D4C-9E58-EB0B7A26BEDA}"/>
            </c:ext>
          </c:extLst>
        </c:ser>
        <c:ser>
          <c:idx val="4"/>
          <c:order val="4"/>
          <c:tx>
            <c:strRef>
              <c:f>Results!$A$50</c:f>
              <c:strCache>
                <c:ptCount val="1"/>
                <c:pt idx="0">
                  <c:v>Av Uber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Results!$B$50:$G$50</c:f>
              <c:numCache>
                <c:formatCode>0.000</c:formatCode>
                <c:ptCount val="6"/>
                <c:pt idx="0">
                  <c:v>5.3027016752178338E-3</c:v>
                </c:pt>
                <c:pt idx="1">
                  <c:v>5.3027016752178338E-3</c:v>
                </c:pt>
                <c:pt idx="2" formatCode="General">
                  <c:v>5.3027016752178338E-3</c:v>
                </c:pt>
                <c:pt idx="3" formatCode="General">
                  <c:v>5.3027016752178338E-3</c:v>
                </c:pt>
                <c:pt idx="4" formatCode="General">
                  <c:v>5.3027016752178338E-3</c:v>
                </c:pt>
                <c:pt idx="5" formatCode="General">
                  <c:v>5.3027016752178338E-3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B5-4D4C-9E58-EB0B7A26BEDA}"/>
            </c:ext>
          </c:extLst>
        </c:ser>
        <c:ser>
          <c:idx val="5"/>
          <c:order val="5"/>
          <c:tx>
            <c:strRef>
              <c:f>Results!$A$51</c:f>
              <c:strCache>
                <c:ptCount val="1"/>
                <c:pt idx="0">
                  <c:v>Max Uber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Results!$B$51:$G$51</c:f>
              <c:numCache>
                <c:formatCode>0.000</c:formatCode>
                <c:ptCount val="6"/>
                <c:pt idx="0">
                  <c:v>9.0134022395237934E-3</c:v>
                </c:pt>
                <c:pt idx="1">
                  <c:v>9.0134022395237934E-3</c:v>
                </c:pt>
                <c:pt idx="2" formatCode="General">
                  <c:v>9.0134022395237934E-3</c:v>
                </c:pt>
                <c:pt idx="3" formatCode="General">
                  <c:v>9.0134022395237934E-3</c:v>
                </c:pt>
                <c:pt idx="4" formatCode="General">
                  <c:v>9.0134022395237934E-3</c:v>
                </c:pt>
                <c:pt idx="5" formatCode="General">
                  <c:v>9.0134022395237934E-3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B5-4D4C-9E58-EB0B7A26BEDA}"/>
            </c:ext>
          </c:extLst>
        </c:ser>
        <c:ser>
          <c:idx val="6"/>
          <c:order val="6"/>
          <c:tx>
            <c:strRef>
              <c:f>Results!$A$52</c:f>
              <c:strCache>
                <c:ptCount val="1"/>
                <c:pt idx="0">
                  <c:v>Av Verify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Results!$B$52:$G$52</c:f>
              <c:numCache>
                <c:formatCode>0.000</c:formatCode>
                <c:ptCount val="6"/>
                <c:pt idx="0">
                  <c:v>9.2250515857784099E-2</c:v>
                </c:pt>
                <c:pt idx="1">
                  <c:v>9.2250515857784099E-2</c:v>
                </c:pt>
                <c:pt idx="2" formatCode="General">
                  <c:v>9.2250515857784099E-2</c:v>
                </c:pt>
                <c:pt idx="3" formatCode="General">
                  <c:v>9.2250515857784099E-2</c:v>
                </c:pt>
                <c:pt idx="4" formatCode="General">
                  <c:v>9.2250515857784099E-2</c:v>
                </c:pt>
                <c:pt idx="5" formatCode="General">
                  <c:v>9.2250515857784099E-2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B5-4D4C-9E58-EB0B7A26BEDA}"/>
            </c:ext>
          </c:extLst>
        </c:ser>
        <c:ser>
          <c:idx val="7"/>
          <c:order val="7"/>
          <c:tx>
            <c:strRef>
              <c:f>Results!$A$53</c:f>
              <c:strCache>
                <c:ptCount val="1"/>
                <c:pt idx="0">
                  <c:v>Max Verify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Results!$B$53:$G$53</c:f>
              <c:numCache>
                <c:formatCode>0.000</c:formatCode>
                <c:ptCount val="6"/>
                <c:pt idx="0">
                  <c:v>0.11477498796375825</c:v>
                </c:pt>
                <c:pt idx="1">
                  <c:v>0.11477498796375825</c:v>
                </c:pt>
                <c:pt idx="2" formatCode="General">
                  <c:v>0.11477498796375825</c:v>
                </c:pt>
                <c:pt idx="3" formatCode="General">
                  <c:v>0.11477498796375825</c:v>
                </c:pt>
                <c:pt idx="4" formatCode="General">
                  <c:v>0.11477498796375825</c:v>
                </c:pt>
                <c:pt idx="5" formatCode="General">
                  <c:v>0.11477498796375825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B5-4D4C-9E58-EB0B7A26BEDA}"/>
            </c:ext>
          </c:extLst>
        </c:ser>
        <c:ser>
          <c:idx val="8"/>
          <c:order val="8"/>
          <c:tx>
            <c:strRef>
              <c:f>Results!$A$54</c:f>
              <c:strCache>
                <c:ptCount val="1"/>
                <c:pt idx="0">
                  <c:v>Baggers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Results!$B$54:$G$54</c:f>
              <c:numCache>
                <c:formatCode>0.000</c:formatCode>
                <c:ptCount val="6"/>
                <c:pt idx="0">
                  <c:v>0.41165273943682013</c:v>
                </c:pt>
                <c:pt idx="1">
                  <c:v>8.0770918451501555E-2</c:v>
                </c:pt>
                <c:pt idx="2" formatCode="General">
                  <c:v>8.0770918451501555E-2</c:v>
                </c:pt>
                <c:pt idx="3" formatCode="General">
                  <c:v>1.6924165148467153E-2</c:v>
                </c:pt>
                <c:pt idx="4" formatCode="General">
                  <c:v>1.6924165148467153E-2</c:v>
                </c:pt>
                <c:pt idx="5" formatCode="General">
                  <c:v>3.4009069147626744E-3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B5-4D4C-9E58-EB0B7A26BEDA}"/>
            </c:ext>
          </c:extLst>
        </c:ser>
        <c:ser>
          <c:idx val="9"/>
          <c:order val="9"/>
          <c:tx>
            <c:strRef>
              <c:f>Results!$A$55</c:f>
              <c:strCache>
                <c:ptCount val="1"/>
                <c:pt idx="0">
                  <c:v>Bagger Multiple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Results!$B$55:$G$55</c:f>
              <c:numCache>
                <c:formatCode>0.000</c:formatCode>
                <c:ptCount val="6"/>
                <c:pt idx="0">
                  <c:v>7.5789473684210518E-2</c:v>
                </c:pt>
                <c:pt idx="1">
                  <c:v>7.5789473684210518E-2</c:v>
                </c:pt>
                <c:pt idx="2" formatCode="General">
                  <c:v>7.5789473684210518E-2</c:v>
                </c:pt>
                <c:pt idx="3" formatCode="General">
                  <c:v>7.5789473684210518E-2</c:v>
                </c:pt>
                <c:pt idx="4" formatCode="General">
                  <c:v>7.5789473684210518E-2</c:v>
                </c:pt>
                <c:pt idx="5" formatCode="General">
                  <c:v>7.5789473684210518E-2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0B5-4D4C-9E58-EB0B7A26BEDA}"/>
            </c:ext>
          </c:extLst>
        </c:ser>
        <c:ser>
          <c:idx val="10"/>
          <c:order val="10"/>
          <c:tx>
            <c:strRef>
              <c:f>Results!$A$56</c:f>
              <c:strCache>
                <c:ptCount val="1"/>
                <c:pt idx="0">
                  <c:v>Depucker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Results!$B$56:$G$56</c:f>
              <c:numCache>
                <c:formatCode>0.000</c:formatCode>
                <c:ptCount val="6"/>
                <c:pt idx="0">
                  <c:v>7.1144443549613842E-2</c:v>
                </c:pt>
                <c:pt idx="1">
                  <c:v>7.1144443549613842E-2</c:v>
                </c:pt>
                <c:pt idx="2" formatCode="General">
                  <c:v>7.1144443549613842E-2</c:v>
                </c:pt>
                <c:pt idx="3" formatCode="General">
                  <c:v>7.1144443549613842E-2</c:v>
                </c:pt>
                <c:pt idx="4" formatCode="General">
                  <c:v>7.1144443549613842E-2</c:v>
                </c:pt>
                <c:pt idx="5" formatCode="General">
                  <c:v>7.1144443549613842E-2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0B5-4D4C-9E58-EB0B7A26B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9248448"/>
        <c:axId val="789249008"/>
      </c:lineChart>
      <c:catAx>
        <c:axId val="78924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249008"/>
        <c:crosses val="autoZero"/>
        <c:auto val="1"/>
        <c:lblAlgn val="ctr"/>
        <c:lblOffset val="100"/>
        <c:noMultiLvlLbl val="0"/>
      </c:catAx>
      <c:valAx>
        <c:axId val="78924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24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Results!$A$60</c:f>
              <c:strCache>
                <c:ptCount val="1"/>
                <c:pt idx="0">
                  <c:v>Labeler Small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Results!$B$60:$G$60</c:f>
              <c:numCache>
                <c:formatCode>0.000</c:formatCode>
                <c:ptCount val="6"/>
                <c:pt idx="0">
                  <c:v>4.787054409005628</c:v>
                </c:pt>
                <c:pt idx="1">
                  <c:v>4.787054409005628</c:v>
                </c:pt>
                <c:pt idx="2" formatCode="General">
                  <c:v>3.6771767755265814</c:v>
                </c:pt>
                <c:pt idx="3" formatCode="General">
                  <c:v>3.6771767755265814</c:v>
                </c:pt>
                <c:pt idx="4" formatCode="General">
                  <c:v>3.5271966730314896</c:v>
                </c:pt>
                <c:pt idx="5" formatCode="General">
                  <c:v>3.5271966730314896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78-4B01-B1F9-DF13BB91927B}"/>
            </c:ext>
          </c:extLst>
        </c:ser>
        <c:ser>
          <c:idx val="1"/>
          <c:order val="1"/>
          <c:tx>
            <c:strRef>
              <c:f>Results!$A$61</c:f>
              <c:strCache>
                <c:ptCount val="1"/>
                <c:pt idx="0">
                  <c:v>Labeler Big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Results!$B$61:$G$61</c:f>
              <c:numCache>
                <c:formatCode>0.000</c:formatCode>
                <c:ptCount val="6"/>
                <c:pt idx="0">
                  <c:v>4.7249999999999996</c:v>
                </c:pt>
                <c:pt idx="1">
                  <c:v>4.7249999999999996</c:v>
                </c:pt>
                <c:pt idx="2" formatCode="General">
                  <c:v>4.7249999999999996</c:v>
                </c:pt>
                <c:pt idx="3" formatCode="General">
                  <c:v>4.7249999999999996</c:v>
                </c:pt>
                <c:pt idx="4" formatCode="General">
                  <c:v>4.7249999999999996</c:v>
                </c:pt>
                <c:pt idx="5" formatCode="General">
                  <c:v>4.7249999999999996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78-4B01-B1F9-DF13BB91927B}"/>
            </c:ext>
          </c:extLst>
        </c:ser>
        <c:ser>
          <c:idx val="2"/>
          <c:order val="2"/>
          <c:tx>
            <c:strRef>
              <c:f>Results!$A$62</c:f>
              <c:strCache>
                <c:ptCount val="1"/>
                <c:pt idx="0">
                  <c:v>Av weight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Results!$B$62:$G$62</c:f>
              <c:numCache>
                <c:formatCode>0.000</c:formatCode>
                <c:ptCount val="6"/>
                <c:pt idx="0">
                  <c:v>1.9399906015037593</c:v>
                </c:pt>
                <c:pt idx="1">
                  <c:v>1.9399906015037593</c:v>
                </c:pt>
                <c:pt idx="2" formatCode="General">
                  <c:v>1.9399906015037593</c:v>
                </c:pt>
                <c:pt idx="3" formatCode="General">
                  <c:v>1.9399906015037593</c:v>
                </c:pt>
                <c:pt idx="4" formatCode="General">
                  <c:v>1.9399906015037593</c:v>
                </c:pt>
                <c:pt idx="5" formatCode="General">
                  <c:v>1.9399906015037593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78-4B01-B1F9-DF13BB91927B}"/>
            </c:ext>
          </c:extLst>
        </c:ser>
        <c:ser>
          <c:idx val="3"/>
          <c:order val="3"/>
          <c:tx>
            <c:strRef>
              <c:f>Results!$A$63</c:f>
              <c:strCache>
                <c:ptCount val="1"/>
                <c:pt idx="0">
                  <c:v>Max weight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Results!$B$63:$G$63</c:f>
              <c:numCache>
                <c:formatCode>0.000</c:formatCode>
                <c:ptCount val="6"/>
                <c:pt idx="0">
                  <c:v>2.1924812030075187</c:v>
                </c:pt>
                <c:pt idx="1">
                  <c:v>2.1924812030075187</c:v>
                </c:pt>
                <c:pt idx="2" formatCode="General">
                  <c:v>2.1924812030075187</c:v>
                </c:pt>
                <c:pt idx="3" formatCode="General">
                  <c:v>2.1924812030075187</c:v>
                </c:pt>
                <c:pt idx="4" formatCode="General">
                  <c:v>2.1924812030075187</c:v>
                </c:pt>
                <c:pt idx="5" formatCode="General">
                  <c:v>2.1924812030075187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78-4B01-B1F9-DF13BB91927B}"/>
            </c:ext>
          </c:extLst>
        </c:ser>
        <c:ser>
          <c:idx val="4"/>
          <c:order val="4"/>
          <c:tx>
            <c:strRef>
              <c:f>Results!$A$64</c:f>
              <c:strCache>
                <c:ptCount val="1"/>
                <c:pt idx="0">
                  <c:v>Av Uber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Results!$B$64:$G$64</c:f>
              <c:numCache>
                <c:formatCode>0.000</c:formatCode>
                <c:ptCount val="6"/>
                <c:pt idx="0">
                  <c:v>13.911666432789211</c:v>
                </c:pt>
                <c:pt idx="1">
                  <c:v>13.911666432789211</c:v>
                </c:pt>
                <c:pt idx="2" formatCode="General">
                  <c:v>13.911666432789211</c:v>
                </c:pt>
                <c:pt idx="3" formatCode="General">
                  <c:v>13.911666432789211</c:v>
                </c:pt>
                <c:pt idx="4" formatCode="General">
                  <c:v>13.911666432789211</c:v>
                </c:pt>
                <c:pt idx="5" formatCode="General">
                  <c:v>13.911666432789211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78-4B01-B1F9-DF13BB91927B}"/>
            </c:ext>
          </c:extLst>
        </c:ser>
        <c:ser>
          <c:idx val="5"/>
          <c:order val="5"/>
          <c:tx>
            <c:strRef>
              <c:f>Results!$A$65</c:f>
              <c:strCache>
                <c:ptCount val="1"/>
                <c:pt idx="0">
                  <c:v>Max Uber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Results!$B$65:$G$65</c:f>
              <c:numCache>
                <c:formatCode>0.000</c:formatCode>
                <c:ptCount val="6"/>
                <c:pt idx="0">
                  <c:v>14.294183095641184</c:v>
                </c:pt>
                <c:pt idx="1">
                  <c:v>14.294183095641184</c:v>
                </c:pt>
                <c:pt idx="2" formatCode="General">
                  <c:v>14.294183095641184</c:v>
                </c:pt>
                <c:pt idx="3" formatCode="General">
                  <c:v>14.294183095641184</c:v>
                </c:pt>
                <c:pt idx="4" formatCode="General">
                  <c:v>14.294183095641184</c:v>
                </c:pt>
                <c:pt idx="5" formatCode="General">
                  <c:v>14.294183095641184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78-4B01-B1F9-DF13BB91927B}"/>
            </c:ext>
          </c:extLst>
        </c:ser>
        <c:ser>
          <c:idx val="6"/>
          <c:order val="6"/>
          <c:tx>
            <c:strRef>
              <c:f>Results!$A$66</c:f>
              <c:strCache>
                <c:ptCount val="1"/>
                <c:pt idx="0">
                  <c:v>Av Verify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Results!$B$66:$G$66</c:f>
              <c:numCache>
                <c:formatCode>0.000</c:formatCode>
                <c:ptCount val="6"/>
                <c:pt idx="0">
                  <c:v>2.7022096220553529</c:v>
                </c:pt>
                <c:pt idx="1">
                  <c:v>2.7022096220553529</c:v>
                </c:pt>
                <c:pt idx="2" formatCode="General">
                  <c:v>2.7022096220553529</c:v>
                </c:pt>
                <c:pt idx="3" formatCode="General">
                  <c:v>2.7022096220553529</c:v>
                </c:pt>
                <c:pt idx="4" formatCode="General">
                  <c:v>2.7022096220553529</c:v>
                </c:pt>
                <c:pt idx="5" formatCode="General">
                  <c:v>2.7022096220553529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478-4B01-B1F9-DF13BB91927B}"/>
            </c:ext>
          </c:extLst>
        </c:ser>
        <c:ser>
          <c:idx val="7"/>
          <c:order val="7"/>
          <c:tx>
            <c:strRef>
              <c:f>Results!$A$67</c:f>
              <c:strCache>
                <c:ptCount val="1"/>
                <c:pt idx="0">
                  <c:v>Max Verify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Results!$B$67:$G$67</c:f>
              <c:numCache>
                <c:formatCode>0.000</c:formatCode>
                <c:ptCount val="6"/>
                <c:pt idx="0">
                  <c:v>2.8019963858531964</c:v>
                </c:pt>
                <c:pt idx="1">
                  <c:v>2.8019963858531964</c:v>
                </c:pt>
                <c:pt idx="2" formatCode="General">
                  <c:v>2.8019963858531964</c:v>
                </c:pt>
                <c:pt idx="3" formatCode="General">
                  <c:v>2.8019963858531964</c:v>
                </c:pt>
                <c:pt idx="4" formatCode="General">
                  <c:v>2.8019963858531964</c:v>
                </c:pt>
                <c:pt idx="5" formatCode="General">
                  <c:v>2.8019963858531964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478-4B01-B1F9-DF13BB91927B}"/>
            </c:ext>
          </c:extLst>
        </c:ser>
        <c:ser>
          <c:idx val="8"/>
          <c:order val="8"/>
          <c:tx>
            <c:strRef>
              <c:f>Results!$A$68</c:f>
              <c:strCache>
                <c:ptCount val="1"/>
                <c:pt idx="0">
                  <c:v>Baggers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Results!$B$68:$G$68</c:f>
              <c:numCache>
                <c:formatCode>0.000</c:formatCode>
                <c:ptCount val="6"/>
                <c:pt idx="0">
                  <c:v>7.4511847453706936</c:v>
                </c:pt>
                <c:pt idx="1">
                  <c:v>6.2847388429547646</c:v>
                </c:pt>
                <c:pt idx="2" formatCode="General">
                  <c:v>6.2847388429547646</c:v>
                </c:pt>
                <c:pt idx="3" formatCode="General">
                  <c:v>6.0596621568101074</c:v>
                </c:pt>
                <c:pt idx="4" formatCode="General">
                  <c:v>6.0596621568101074</c:v>
                </c:pt>
                <c:pt idx="5" formatCode="General">
                  <c:v>6.0119890960567428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478-4B01-B1F9-DF13BB91927B}"/>
            </c:ext>
          </c:extLst>
        </c:ser>
        <c:ser>
          <c:idx val="9"/>
          <c:order val="9"/>
          <c:tx>
            <c:strRef>
              <c:f>Results!$A$69</c:f>
              <c:strCache>
                <c:ptCount val="1"/>
                <c:pt idx="0">
                  <c:v>Bagger Multiple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Results!$B$69:$G$69</c:f>
              <c:numCache>
                <c:formatCode>0.000</c:formatCode>
                <c:ptCount val="6"/>
                <c:pt idx="0">
                  <c:v>7.8947368421052637</c:v>
                </c:pt>
                <c:pt idx="1">
                  <c:v>7.8947368421052637</c:v>
                </c:pt>
                <c:pt idx="2" formatCode="General">
                  <c:v>7.8947368421052637</c:v>
                </c:pt>
                <c:pt idx="3" formatCode="General">
                  <c:v>7.8947368421052637</c:v>
                </c:pt>
                <c:pt idx="4" formatCode="General">
                  <c:v>7.8947368421052637</c:v>
                </c:pt>
                <c:pt idx="5" formatCode="General">
                  <c:v>7.8947368421052637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478-4B01-B1F9-DF13BB91927B}"/>
            </c:ext>
          </c:extLst>
        </c:ser>
        <c:ser>
          <c:idx val="10"/>
          <c:order val="10"/>
          <c:tx>
            <c:strRef>
              <c:f>Results!$A$70</c:f>
              <c:strCache>
                <c:ptCount val="1"/>
                <c:pt idx="0">
                  <c:v>Depucker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Results!$B$70:$G$70</c:f>
              <c:numCache>
                <c:formatCode>0.000</c:formatCode>
                <c:ptCount val="6"/>
                <c:pt idx="0">
                  <c:v>6.5233148103406613</c:v>
                </c:pt>
                <c:pt idx="1">
                  <c:v>6.5233148103406613</c:v>
                </c:pt>
                <c:pt idx="2" formatCode="General">
                  <c:v>6.5233148103406613</c:v>
                </c:pt>
                <c:pt idx="3" formatCode="General">
                  <c:v>6.5233148103406613</c:v>
                </c:pt>
                <c:pt idx="4" formatCode="General">
                  <c:v>6.5233148103406613</c:v>
                </c:pt>
                <c:pt idx="5" formatCode="General">
                  <c:v>6.5233148103406613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478-4B01-B1F9-DF13BB919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356608"/>
        <c:axId val="840356048"/>
      </c:lineChart>
      <c:catAx>
        <c:axId val="84035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356048"/>
        <c:crosses val="autoZero"/>
        <c:auto val="1"/>
        <c:lblAlgn val="ctr"/>
        <c:lblOffset val="100"/>
        <c:noMultiLvlLbl val="0"/>
      </c:catAx>
      <c:valAx>
        <c:axId val="84035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35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Results!$A$73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Results!$B$73:$G$73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3-40AB-BA1E-2A650D39078E}"/>
            </c:ext>
          </c:extLst>
        </c:ser>
        <c:ser>
          <c:idx val="1"/>
          <c:order val="1"/>
          <c:tx>
            <c:strRef>
              <c:f>Results!$A$74</c:f>
              <c:strCache>
                <c:ptCount val="1"/>
                <c:pt idx="0">
                  <c:v>Labeler Small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Results!$B$74:$G$74</c:f>
              <c:numCache>
                <c:formatCode>0.000</c:formatCode>
                <c:ptCount val="6"/>
                <c:pt idx="0">
                  <c:v>1.4183864915572231</c:v>
                </c:pt>
                <c:pt idx="1">
                  <c:v>1.4183864915572231</c:v>
                </c:pt>
                <c:pt idx="2" formatCode="General">
                  <c:v>1.0895338594152832</c:v>
                </c:pt>
                <c:pt idx="3" formatCode="General">
                  <c:v>1.0895338594152832</c:v>
                </c:pt>
                <c:pt idx="4" formatCode="General">
                  <c:v>1.0450953105278487</c:v>
                </c:pt>
                <c:pt idx="5" formatCode="General">
                  <c:v>1.0450953105278487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3-40AB-BA1E-2A650D39078E}"/>
            </c:ext>
          </c:extLst>
        </c:ser>
        <c:ser>
          <c:idx val="2"/>
          <c:order val="2"/>
          <c:tx>
            <c:strRef>
              <c:f>Results!$A$75</c:f>
              <c:strCache>
                <c:ptCount val="1"/>
                <c:pt idx="0">
                  <c:v>Labeler Big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Results!$B$75:$G$75</c:f>
              <c:numCache>
                <c:formatCode>0.000</c:formatCode>
                <c:ptCount val="6"/>
                <c:pt idx="0">
                  <c:v>0.35</c:v>
                </c:pt>
                <c:pt idx="1">
                  <c:v>0.35</c:v>
                </c:pt>
                <c:pt idx="2" formatCode="General">
                  <c:v>0.35</c:v>
                </c:pt>
                <c:pt idx="3" formatCode="General">
                  <c:v>0.35</c:v>
                </c:pt>
                <c:pt idx="4" formatCode="General">
                  <c:v>0.35</c:v>
                </c:pt>
                <c:pt idx="5" formatCode="General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03-40AB-BA1E-2A650D39078E}"/>
            </c:ext>
          </c:extLst>
        </c:ser>
        <c:ser>
          <c:idx val="3"/>
          <c:order val="3"/>
          <c:tx>
            <c:strRef>
              <c:f>Results!$A$76</c:f>
              <c:strCache>
                <c:ptCount val="1"/>
                <c:pt idx="0">
                  <c:v>Av weight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Results!$B$76:$G$76</c:f>
              <c:numCache>
                <c:formatCode>0.000</c:formatCode>
                <c:ptCount val="6"/>
                <c:pt idx="0">
                  <c:v>0.38731203007518794</c:v>
                </c:pt>
                <c:pt idx="1">
                  <c:v>0.38731203007518794</c:v>
                </c:pt>
                <c:pt idx="2" formatCode="General">
                  <c:v>0.38731203007518794</c:v>
                </c:pt>
                <c:pt idx="3" formatCode="General">
                  <c:v>0.38731203007518794</c:v>
                </c:pt>
                <c:pt idx="4" formatCode="General">
                  <c:v>0.38731203007518794</c:v>
                </c:pt>
                <c:pt idx="5" formatCode="General">
                  <c:v>0.38731203007518794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03-40AB-BA1E-2A650D39078E}"/>
            </c:ext>
          </c:extLst>
        </c:ser>
        <c:ser>
          <c:idx val="4"/>
          <c:order val="4"/>
          <c:tx>
            <c:strRef>
              <c:f>Results!$A$77</c:f>
              <c:strCache>
                <c:ptCount val="1"/>
                <c:pt idx="0">
                  <c:v>Max weight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Results!$B$77:$G$77</c:f>
              <c:numCache>
                <c:formatCode>0.000</c:formatCode>
                <c:ptCount val="6"/>
                <c:pt idx="0">
                  <c:v>0.64962406015037588</c:v>
                </c:pt>
                <c:pt idx="1">
                  <c:v>0.64962406015037588</c:v>
                </c:pt>
                <c:pt idx="2" formatCode="General">
                  <c:v>0.64962406015037588</c:v>
                </c:pt>
                <c:pt idx="3" formatCode="General">
                  <c:v>0.64962406015037588</c:v>
                </c:pt>
                <c:pt idx="4" formatCode="General">
                  <c:v>0.64962406015037588</c:v>
                </c:pt>
                <c:pt idx="5" formatCode="General">
                  <c:v>0.64962406015037588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03-40AB-BA1E-2A650D39078E}"/>
            </c:ext>
          </c:extLst>
        </c:ser>
        <c:ser>
          <c:idx val="5"/>
          <c:order val="5"/>
          <c:tx>
            <c:strRef>
              <c:f>Results!$A$78</c:f>
              <c:strCache>
                <c:ptCount val="1"/>
                <c:pt idx="0">
                  <c:v>Av Uber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Results!$B$78:$G$78</c:f>
              <c:numCache>
                <c:formatCode>0.000</c:formatCode>
                <c:ptCount val="6"/>
                <c:pt idx="0">
                  <c:v>7.0128187137631637E-2</c:v>
                </c:pt>
                <c:pt idx="1">
                  <c:v>7.0128187137631637E-2</c:v>
                </c:pt>
                <c:pt idx="2" formatCode="General">
                  <c:v>7.0128187137631637E-2</c:v>
                </c:pt>
                <c:pt idx="3" formatCode="General">
                  <c:v>7.0128187137631637E-2</c:v>
                </c:pt>
                <c:pt idx="4" formatCode="General">
                  <c:v>7.0128187137631637E-2</c:v>
                </c:pt>
                <c:pt idx="5" formatCode="General">
                  <c:v>7.0128187137631637E-2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03-40AB-BA1E-2A650D39078E}"/>
            </c:ext>
          </c:extLst>
        </c:ser>
        <c:ser>
          <c:idx val="6"/>
          <c:order val="6"/>
          <c:tx>
            <c:strRef>
              <c:f>Results!$A$79</c:f>
              <c:strCache>
                <c:ptCount val="1"/>
                <c:pt idx="0">
                  <c:v>Max Uber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Results!$B$79:$G$79</c:f>
              <c:numCache>
                <c:formatCode>0.000</c:formatCode>
                <c:ptCount val="6"/>
                <c:pt idx="0">
                  <c:v>9.9552545818552676E-2</c:v>
                </c:pt>
                <c:pt idx="1">
                  <c:v>9.9552545818552676E-2</c:v>
                </c:pt>
                <c:pt idx="2" formatCode="General">
                  <c:v>9.9552545818552676E-2</c:v>
                </c:pt>
                <c:pt idx="3" formatCode="General">
                  <c:v>9.9552545818552676E-2</c:v>
                </c:pt>
                <c:pt idx="4" formatCode="General">
                  <c:v>9.9552545818552676E-2</c:v>
                </c:pt>
                <c:pt idx="5" formatCode="General">
                  <c:v>9.9552545818552676E-2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03-40AB-BA1E-2A650D39078E}"/>
            </c:ext>
          </c:extLst>
        </c:ser>
        <c:ser>
          <c:idx val="7"/>
          <c:order val="7"/>
          <c:tx>
            <c:strRef>
              <c:f>Results!$A$80</c:f>
              <c:strCache>
                <c:ptCount val="1"/>
                <c:pt idx="0">
                  <c:v>Av Verify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Results!$B$80:$G$80</c:f>
              <c:numCache>
                <c:formatCode>0.000</c:formatCode>
                <c:ptCount val="6"/>
                <c:pt idx="0">
                  <c:v>0.35110481102767638</c:v>
                </c:pt>
                <c:pt idx="1">
                  <c:v>0.35110481102767638</c:v>
                </c:pt>
                <c:pt idx="2" formatCode="General">
                  <c:v>0.35110481102767638</c:v>
                </c:pt>
                <c:pt idx="3" formatCode="General">
                  <c:v>0.35110481102767638</c:v>
                </c:pt>
                <c:pt idx="4" formatCode="General">
                  <c:v>0.35110481102767638</c:v>
                </c:pt>
                <c:pt idx="5" formatCode="General">
                  <c:v>0.35110481102767638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03-40AB-BA1E-2A650D39078E}"/>
            </c:ext>
          </c:extLst>
        </c:ser>
        <c:ser>
          <c:idx val="8"/>
          <c:order val="8"/>
          <c:tx>
            <c:strRef>
              <c:f>Results!$A$81</c:f>
              <c:strCache>
                <c:ptCount val="1"/>
                <c:pt idx="0">
                  <c:v>Max Verify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Results!$B$81:$G$81</c:f>
              <c:numCache>
                <c:formatCode>0.000</c:formatCode>
                <c:ptCount val="6"/>
                <c:pt idx="0">
                  <c:v>0.40099819292659833</c:v>
                </c:pt>
                <c:pt idx="1">
                  <c:v>0.40099819292659833</c:v>
                </c:pt>
                <c:pt idx="2" formatCode="General">
                  <c:v>0.40099819292659833</c:v>
                </c:pt>
                <c:pt idx="3" formatCode="General">
                  <c:v>0.40099819292659833</c:v>
                </c:pt>
                <c:pt idx="4" formatCode="General">
                  <c:v>0.40099819292659833</c:v>
                </c:pt>
                <c:pt idx="5" formatCode="General">
                  <c:v>0.40099819292659833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403-40AB-BA1E-2A650D39078E}"/>
            </c:ext>
          </c:extLst>
        </c:ser>
        <c:ser>
          <c:idx val="9"/>
          <c:order val="9"/>
          <c:tx>
            <c:strRef>
              <c:f>Results!$A$82</c:f>
              <c:strCache>
                <c:ptCount val="1"/>
                <c:pt idx="0">
                  <c:v>Baggers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Results!$B$82:$G$82</c:f>
              <c:numCache>
                <c:formatCode>0.000</c:formatCode>
                <c:ptCount val="6"/>
                <c:pt idx="0">
                  <c:v>2.1136527394368199</c:v>
                </c:pt>
                <c:pt idx="1">
                  <c:v>1.7827709184515013</c:v>
                </c:pt>
                <c:pt idx="2" formatCode="General">
                  <c:v>1.7827709184515013</c:v>
                </c:pt>
                <c:pt idx="3" formatCode="General">
                  <c:v>1.7189241651484668</c:v>
                </c:pt>
                <c:pt idx="4" formatCode="General">
                  <c:v>1.7189241651484668</c:v>
                </c:pt>
                <c:pt idx="5" formatCode="General">
                  <c:v>1.7054009069147624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403-40AB-BA1E-2A650D39078E}"/>
            </c:ext>
          </c:extLst>
        </c:ser>
        <c:ser>
          <c:idx val="10"/>
          <c:order val="10"/>
          <c:tx>
            <c:strRef>
              <c:f>Results!$A$83</c:f>
              <c:strCache>
                <c:ptCount val="1"/>
                <c:pt idx="0">
                  <c:v>Bagger Multiple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Results!$B$17:$G$17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Results!$B$83:$G$83</c:f>
              <c:numCache>
                <c:formatCode>0.000</c:formatCode>
                <c:ptCount val="6"/>
                <c:pt idx="0">
                  <c:v>0.31578947368421051</c:v>
                </c:pt>
                <c:pt idx="1">
                  <c:v>0.31578947368421051</c:v>
                </c:pt>
                <c:pt idx="2" formatCode="General">
                  <c:v>0.31578947368421051</c:v>
                </c:pt>
                <c:pt idx="3" formatCode="General">
                  <c:v>0.31578947368421051</c:v>
                </c:pt>
                <c:pt idx="4" formatCode="General">
                  <c:v>0.31578947368421051</c:v>
                </c:pt>
                <c:pt idx="5" formatCode="General">
                  <c:v>0.31578947368421051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403-40AB-BA1E-2A650D390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6484848"/>
        <c:axId val="846485408"/>
      </c:lineChart>
      <c:catAx>
        <c:axId val="84648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485408"/>
        <c:crosses val="autoZero"/>
        <c:auto val="1"/>
        <c:lblAlgn val="ctr"/>
        <c:lblOffset val="100"/>
        <c:noMultiLvlLbl val="0"/>
      </c:catAx>
      <c:valAx>
        <c:axId val="84648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48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Utilization</a:t>
            </a:r>
          </a:p>
          <a:p>
            <a:pPr>
              <a:defRPr/>
            </a:pPr>
            <a:r>
              <a:rPr lang="en-US"/>
              <a:t>Arrival rate 2.3 sec/vial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Results!$I$4</c:f>
              <c:strCache>
                <c:ptCount val="1"/>
                <c:pt idx="0">
                  <c:v>Labeler Small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Results!$J$4:$O$4</c:f>
              <c:numCache>
                <c:formatCode>General</c:formatCode>
                <c:ptCount val="6"/>
                <c:pt idx="0">
                  <c:v>0.60869565217391319</c:v>
                </c:pt>
                <c:pt idx="1">
                  <c:v>0.60869565217391319</c:v>
                </c:pt>
                <c:pt idx="2">
                  <c:v>0.40579710144927544</c:v>
                </c:pt>
                <c:pt idx="3">
                  <c:v>0.40579710144927544</c:v>
                </c:pt>
                <c:pt idx="4">
                  <c:v>0.3043478260869566</c:v>
                </c:pt>
                <c:pt idx="5">
                  <c:v>0.3043478260869566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8-484B-959D-B1D191494400}"/>
            </c:ext>
          </c:extLst>
        </c:ser>
        <c:ser>
          <c:idx val="1"/>
          <c:order val="1"/>
          <c:tx>
            <c:strRef>
              <c:f>Results!$I$5</c:f>
              <c:strCache>
                <c:ptCount val="1"/>
                <c:pt idx="0">
                  <c:v>Labeler Big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Results!$J$5:$O$5</c:f>
              <c:numCache>
                <c:formatCode>General</c:formatCode>
                <c:ptCount val="6"/>
                <c:pt idx="0">
                  <c:v>0.3043478260869566</c:v>
                </c:pt>
                <c:pt idx="1">
                  <c:v>0.3043478260869566</c:v>
                </c:pt>
                <c:pt idx="2">
                  <c:v>0.3043478260869566</c:v>
                </c:pt>
                <c:pt idx="3">
                  <c:v>0.3043478260869566</c:v>
                </c:pt>
                <c:pt idx="4">
                  <c:v>0.3043478260869566</c:v>
                </c:pt>
                <c:pt idx="5">
                  <c:v>0.3043478260869566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48-484B-959D-B1D191494400}"/>
            </c:ext>
          </c:extLst>
        </c:ser>
        <c:ser>
          <c:idx val="2"/>
          <c:order val="2"/>
          <c:tx>
            <c:strRef>
              <c:f>Results!$I$6</c:f>
              <c:strCache>
                <c:ptCount val="1"/>
                <c:pt idx="0">
                  <c:v>Av weight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Results!$J$6:$O$6</c:f>
              <c:numCache>
                <c:formatCode>General</c:formatCode>
                <c:ptCount val="6"/>
                <c:pt idx="0">
                  <c:v>0.23913043478260873</c:v>
                </c:pt>
                <c:pt idx="1">
                  <c:v>0.23913043478260873</c:v>
                </c:pt>
                <c:pt idx="2">
                  <c:v>0.23913043478260873</c:v>
                </c:pt>
                <c:pt idx="3">
                  <c:v>0.23913043478260873</c:v>
                </c:pt>
                <c:pt idx="4">
                  <c:v>0.23913043478260873</c:v>
                </c:pt>
                <c:pt idx="5">
                  <c:v>0.23913043478260873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48-484B-959D-B1D191494400}"/>
            </c:ext>
          </c:extLst>
        </c:ser>
        <c:ser>
          <c:idx val="3"/>
          <c:order val="3"/>
          <c:tx>
            <c:strRef>
              <c:f>Results!$I$7</c:f>
              <c:strCache>
                <c:ptCount val="1"/>
                <c:pt idx="0">
                  <c:v>Max weight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Results!$J$7:$O$7</c:f>
              <c:numCache>
                <c:formatCode>General</c:formatCode>
                <c:ptCount val="6"/>
                <c:pt idx="0">
                  <c:v>0.34782608695652178</c:v>
                </c:pt>
                <c:pt idx="1">
                  <c:v>0.34782608695652178</c:v>
                </c:pt>
                <c:pt idx="2">
                  <c:v>0.34782608695652178</c:v>
                </c:pt>
                <c:pt idx="3">
                  <c:v>0.34782608695652178</c:v>
                </c:pt>
                <c:pt idx="4">
                  <c:v>0.34782608695652178</c:v>
                </c:pt>
                <c:pt idx="5">
                  <c:v>0.34782608695652178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48-484B-959D-B1D191494400}"/>
            </c:ext>
          </c:extLst>
        </c:ser>
        <c:ser>
          <c:idx val="4"/>
          <c:order val="4"/>
          <c:tx>
            <c:strRef>
              <c:f>Results!$I$8</c:f>
              <c:strCache>
                <c:ptCount val="1"/>
                <c:pt idx="0">
                  <c:v>Av Uber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Results!$J$8:$O$8</c:f>
              <c:numCache>
                <c:formatCode>General</c:formatCode>
                <c:ptCount val="6"/>
                <c:pt idx="0">
                  <c:v>7.6099482934137958E-2</c:v>
                </c:pt>
                <c:pt idx="1">
                  <c:v>7.6099482934137958E-2</c:v>
                </c:pt>
                <c:pt idx="2">
                  <c:v>7.6099482934137958E-2</c:v>
                </c:pt>
                <c:pt idx="3">
                  <c:v>7.6099482934137958E-2</c:v>
                </c:pt>
                <c:pt idx="4">
                  <c:v>7.6099482934137958E-2</c:v>
                </c:pt>
                <c:pt idx="5">
                  <c:v>7.6099482934137958E-2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48-484B-959D-B1D191494400}"/>
            </c:ext>
          </c:extLst>
        </c:ser>
        <c:ser>
          <c:idx val="5"/>
          <c:order val="5"/>
          <c:tx>
            <c:strRef>
              <c:f>Results!$I$9</c:f>
              <c:strCache>
                <c:ptCount val="1"/>
                <c:pt idx="0">
                  <c:v>Max Uber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Results!$J$9:$O$9</c:f>
              <c:numCache>
                <c:formatCode>General</c:formatCode>
                <c:ptCount val="6"/>
                <c:pt idx="0">
                  <c:v>0.10628508159277306</c:v>
                </c:pt>
                <c:pt idx="1">
                  <c:v>0.10628508159277306</c:v>
                </c:pt>
                <c:pt idx="2">
                  <c:v>0.10628508159277306</c:v>
                </c:pt>
                <c:pt idx="3">
                  <c:v>0.10628508159277306</c:v>
                </c:pt>
                <c:pt idx="4">
                  <c:v>0.10628508159277306</c:v>
                </c:pt>
                <c:pt idx="5">
                  <c:v>0.10628508159277306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48-484B-959D-B1D191494400}"/>
            </c:ext>
          </c:extLst>
        </c:ser>
        <c:ser>
          <c:idx val="6"/>
          <c:order val="6"/>
          <c:tx>
            <c:strRef>
              <c:f>Results!$I$10</c:f>
              <c:strCache>
                <c:ptCount val="1"/>
                <c:pt idx="0">
                  <c:v>Av Verify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Results!$J$10:$O$10</c:f>
              <c:numCache>
                <c:formatCode>General</c:formatCode>
                <c:ptCount val="6"/>
                <c:pt idx="0">
                  <c:v>0.30387243346030846</c:v>
                </c:pt>
                <c:pt idx="1">
                  <c:v>0.30387243346030846</c:v>
                </c:pt>
                <c:pt idx="2">
                  <c:v>0.30387243346030846</c:v>
                </c:pt>
                <c:pt idx="3">
                  <c:v>0.30387243346030846</c:v>
                </c:pt>
                <c:pt idx="4">
                  <c:v>0.30387243346030846</c:v>
                </c:pt>
                <c:pt idx="5">
                  <c:v>0.30387243346030846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48-484B-959D-B1D191494400}"/>
            </c:ext>
          </c:extLst>
        </c:ser>
        <c:ser>
          <c:idx val="7"/>
          <c:order val="7"/>
          <c:tx>
            <c:strRef>
              <c:f>Results!$I$11</c:f>
              <c:strCache>
                <c:ptCount val="1"/>
                <c:pt idx="0">
                  <c:v>Max Verify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Results!$J$11:$O$11</c:f>
              <c:numCache>
                <c:formatCode>General</c:formatCode>
                <c:ptCount val="6"/>
                <c:pt idx="0">
                  <c:v>0.33600115365202976</c:v>
                </c:pt>
                <c:pt idx="1">
                  <c:v>0.33600115365202976</c:v>
                </c:pt>
                <c:pt idx="2">
                  <c:v>0.33600115365202976</c:v>
                </c:pt>
                <c:pt idx="3">
                  <c:v>0.33600115365202976</c:v>
                </c:pt>
                <c:pt idx="4">
                  <c:v>0.33600115365202976</c:v>
                </c:pt>
                <c:pt idx="5">
                  <c:v>0.33600115365202976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48-484B-959D-B1D191494400}"/>
            </c:ext>
          </c:extLst>
        </c:ser>
        <c:ser>
          <c:idx val="8"/>
          <c:order val="8"/>
          <c:tx>
            <c:strRef>
              <c:f>Results!$I$12</c:f>
              <c:strCache>
                <c:ptCount val="1"/>
                <c:pt idx="0">
                  <c:v>Baggers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Results!$J$12:$O$12</c:f>
              <c:numCache>
                <c:formatCode>General</c:formatCode>
                <c:ptCount val="6"/>
                <c:pt idx="0">
                  <c:v>0.66600000000000015</c:v>
                </c:pt>
                <c:pt idx="1">
                  <c:v>0.49950000000000011</c:v>
                </c:pt>
                <c:pt idx="2">
                  <c:v>0.49950000000000011</c:v>
                </c:pt>
                <c:pt idx="3">
                  <c:v>0.39960000000000012</c:v>
                </c:pt>
                <c:pt idx="4">
                  <c:v>0.39960000000000012</c:v>
                </c:pt>
                <c:pt idx="5">
                  <c:v>0.33300000000000007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48-484B-959D-B1D191494400}"/>
            </c:ext>
          </c:extLst>
        </c:ser>
        <c:ser>
          <c:idx val="9"/>
          <c:order val="9"/>
          <c:tx>
            <c:strRef>
              <c:f>Results!$I$13</c:f>
              <c:strCache>
                <c:ptCount val="1"/>
                <c:pt idx="0">
                  <c:v>Bagger Multiple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Results!$J$13:$O$13</c:f>
              <c:numCache>
                <c:formatCode>General</c:formatCode>
                <c:ptCount val="6"/>
                <c:pt idx="0">
                  <c:v>0.28173913043478266</c:v>
                </c:pt>
                <c:pt idx="1">
                  <c:v>0.28173913043478266</c:v>
                </c:pt>
                <c:pt idx="2">
                  <c:v>0.28173913043478266</c:v>
                </c:pt>
                <c:pt idx="3">
                  <c:v>0.28173913043478266</c:v>
                </c:pt>
                <c:pt idx="4">
                  <c:v>0.28173913043478266</c:v>
                </c:pt>
                <c:pt idx="5">
                  <c:v>0.28173913043478266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248-484B-959D-B1D191494400}"/>
            </c:ext>
          </c:extLst>
        </c:ser>
        <c:ser>
          <c:idx val="10"/>
          <c:order val="10"/>
          <c:tx>
            <c:strRef>
              <c:f>Results!$I$14</c:f>
              <c:strCache>
                <c:ptCount val="1"/>
                <c:pt idx="0">
                  <c:v>Depucker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Results!$J$14:$O$14</c:f>
              <c:numCache>
                <c:formatCode>General</c:formatCode>
                <c:ptCount val="6"/>
                <c:pt idx="0">
                  <c:v>0.27413043478260868</c:v>
                </c:pt>
                <c:pt idx="1">
                  <c:v>0.27413043478260868</c:v>
                </c:pt>
                <c:pt idx="2">
                  <c:v>0.27413043478260868</c:v>
                </c:pt>
                <c:pt idx="3">
                  <c:v>0.27413043478260868</c:v>
                </c:pt>
                <c:pt idx="4">
                  <c:v>0.27413043478260868</c:v>
                </c:pt>
                <c:pt idx="5">
                  <c:v>0.27413043478260868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248-484B-959D-B1D191494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410016"/>
        <c:axId val="793410576"/>
      </c:lineChart>
      <c:catAx>
        <c:axId val="79341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410576"/>
        <c:crosses val="autoZero"/>
        <c:auto val="1"/>
        <c:lblAlgn val="ctr"/>
        <c:lblOffset val="100"/>
        <c:noMultiLvlLbl val="0"/>
      </c:catAx>
      <c:valAx>
        <c:axId val="79341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41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Results!$I$18</c:f>
              <c:strCache>
                <c:ptCount val="1"/>
                <c:pt idx="0">
                  <c:v>Labeler Small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Results!$J$18:$O$18</c:f>
              <c:numCache>
                <c:formatCode>General</c:formatCode>
                <c:ptCount val="6"/>
                <c:pt idx="0">
                  <c:v>0.24324324324324317</c:v>
                </c:pt>
                <c:pt idx="1">
                  <c:v>0.24324324324324317</c:v>
                </c:pt>
                <c:pt idx="2">
                  <c:v>0.2886440159167431</c:v>
                </c:pt>
                <c:pt idx="3">
                  <c:v>0.2886440159167431</c:v>
                </c:pt>
                <c:pt idx="4">
                  <c:v>0.29492659356996836</c:v>
                </c:pt>
                <c:pt idx="5">
                  <c:v>0.29492659356996836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B-405D-AE97-975C297F3216}"/>
            </c:ext>
          </c:extLst>
        </c:ser>
        <c:ser>
          <c:idx val="1"/>
          <c:order val="1"/>
          <c:tx>
            <c:strRef>
              <c:f>Results!$I$19</c:f>
              <c:strCache>
                <c:ptCount val="1"/>
                <c:pt idx="0">
                  <c:v>Labeler Big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Results!$J$19:$O$19</c:f>
              <c:numCache>
                <c:formatCode>General</c:formatCode>
                <c:ptCount val="6"/>
                <c:pt idx="0">
                  <c:v>0.69565217391304346</c:v>
                </c:pt>
                <c:pt idx="1">
                  <c:v>0.69565217391304346</c:v>
                </c:pt>
                <c:pt idx="2">
                  <c:v>0.69565217391304346</c:v>
                </c:pt>
                <c:pt idx="3">
                  <c:v>0.69565217391304346</c:v>
                </c:pt>
                <c:pt idx="4">
                  <c:v>0.69565217391304346</c:v>
                </c:pt>
                <c:pt idx="5">
                  <c:v>0.69565217391304346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9B-405D-AE97-975C297F3216}"/>
            </c:ext>
          </c:extLst>
        </c:ser>
        <c:ser>
          <c:idx val="2"/>
          <c:order val="2"/>
          <c:tx>
            <c:strRef>
              <c:f>Results!$I$20</c:f>
              <c:strCache>
                <c:ptCount val="1"/>
                <c:pt idx="0">
                  <c:v>Av weight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Results!$J$20:$O$20</c:f>
              <c:numCache>
                <c:formatCode>General</c:formatCode>
                <c:ptCount val="6"/>
                <c:pt idx="0">
                  <c:v>0.67671809256661997</c:v>
                </c:pt>
                <c:pt idx="1">
                  <c:v>0.67671809256661997</c:v>
                </c:pt>
                <c:pt idx="2">
                  <c:v>0.67671809256661997</c:v>
                </c:pt>
                <c:pt idx="3">
                  <c:v>0.67671809256661997</c:v>
                </c:pt>
                <c:pt idx="4">
                  <c:v>0.67671809256661997</c:v>
                </c:pt>
                <c:pt idx="5">
                  <c:v>0.67671809256661997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9B-405D-AE97-975C297F3216}"/>
            </c:ext>
          </c:extLst>
        </c:ser>
        <c:ser>
          <c:idx val="3"/>
          <c:order val="3"/>
          <c:tx>
            <c:strRef>
              <c:f>Results!$I$21</c:f>
              <c:strCache>
                <c:ptCount val="1"/>
                <c:pt idx="0">
                  <c:v>Max weight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Results!$J$21:$O$21</c:f>
              <c:numCache>
                <c:formatCode>General</c:formatCode>
                <c:ptCount val="6"/>
                <c:pt idx="0">
                  <c:v>0.86956521739130443</c:v>
                </c:pt>
                <c:pt idx="1">
                  <c:v>0.86956521739130443</c:v>
                </c:pt>
                <c:pt idx="2">
                  <c:v>0.86956521739130443</c:v>
                </c:pt>
                <c:pt idx="3">
                  <c:v>0.86956521739130443</c:v>
                </c:pt>
                <c:pt idx="4">
                  <c:v>0.86956521739130443</c:v>
                </c:pt>
                <c:pt idx="5">
                  <c:v>0.86956521739130443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9B-405D-AE97-975C297F3216}"/>
            </c:ext>
          </c:extLst>
        </c:ser>
        <c:ser>
          <c:idx val="4"/>
          <c:order val="4"/>
          <c:tx>
            <c:strRef>
              <c:f>Results!$I$22</c:f>
              <c:strCache>
                <c:ptCount val="1"/>
                <c:pt idx="0">
                  <c:v>Av Uber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Results!$J$22:$O$22</c:f>
              <c:numCache>
                <c:formatCode>General</c:formatCode>
                <c:ptCount val="6"/>
                <c:pt idx="0">
                  <c:v>0.92390051706586207</c:v>
                </c:pt>
                <c:pt idx="1">
                  <c:v>0.92390051706586207</c:v>
                </c:pt>
                <c:pt idx="2">
                  <c:v>0.92390051706586207</c:v>
                </c:pt>
                <c:pt idx="3">
                  <c:v>0.92390051706586207</c:v>
                </c:pt>
                <c:pt idx="4">
                  <c:v>0.92390051706586207</c:v>
                </c:pt>
                <c:pt idx="5">
                  <c:v>0.92390051706586207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9B-405D-AE97-975C297F3216}"/>
            </c:ext>
          </c:extLst>
        </c:ser>
        <c:ser>
          <c:idx val="5"/>
          <c:order val="5"/>
          <c:tx>
            <c:strRef>
              <c:f>Results!$I$23</c:f>
              <c:strCache>
                <c:ptCount val="1"/>
                <c:pt idx="0">
                  <c:v>Max Uber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Results!$J$23:$O$23</c:f>
              <c:numCache>
                <c:formatCode>General</c:formatCode>
                <c:ptCount val="6"/>
                <c:pt idx="0">
                  <c:v>0.9540861157244972</c:v>
                </c:pt>
                <c:pt idx="1">
                  <c:v>0.9540861157244972</c:v>
                </c:pt>
                <c:pt idx="2">
                  <c:v>0.9540861157244972</c:v>
                </c:pt>
                <c:pt idx="3">
                  <c:v>0.9540861157244972</c:v>
                </c:pt>
                <c:pt idx="4">
                  <c:v>0.9540861157244972</c:v>
                </c:pt>
                <c:pt idx="5">
                  <c:v>0.9540861157244972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9B-405D-AE97-975C297F3216}"/>
            </c:ext>
          </c:extLst>
        </c:ser>
        <c:ser>
          <c:idx val="6"/>
          <c:order val="6"/>
          <c:tx>
            <c:strRef>
              <c:f>Results!$I$24</c:f>
              <c:strCache>
                <c:ptCount val="1"/>
                <c:pt idx="0">
                  <c:v>Av Verify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Results!$J$24:$O$24</c:f>
              <c:numCache>
                <c:formatCode>General</c:formatCode>
                <c:ptCount val="6"/>
                <c:pt idx="0">
                  <c:v>0.69612756653969154</c:v>
                </c:pt>
                <c:pt idx="1">
                  <c:v>0.69612756653969154</c:v>
                </c:pt>
                <c:pt idx="2">
                  <c:v>0.69612756653969154</c:v>
                </c:pt>
                <c:pt idx="3">
                  <c:v>0.69612756653969154</c:v>
                </c:pt>
                <c:pt idx="4">
                  <c:v>0.69612756653969154</c:v>
                </c:pt>
                <c:pt idx="5">
                  <c:v>0.69612756653969154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9B-405D-AE97-975C297F3216}"/>
            </c:ext>
          </c:extLst>
        </c:ser>
        <c:ser>
          <c:idx val="7"/>
          <c:order val="7"/>
          <c:tx>
            <c:strRef>
              <c:f>Results!$I$25</c:f>
              <c:strCache>
                <c:ptCount val="1"/>
                <c:pt idx="0">
                  <c:v>Max Verify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Results!$J$25:$O$25</c:f>
              <c:numCache>
                <c:formatCode>General</c:formatCode>
                <c:ptCount val="6"/>
                <c:pt idx="0">
                  <c:v>0.72825628673141285</c:v>
                </c:pt>
                <c:pt idx="1">
                  <c:v>0.72825628673141285</c:v>
                </c:pt>
                <c:pt idx="2">
                  <c:v>0.72825628673141285</c:v>
                </c:pt>
                <c:pt idx="3">
                  <c:v>0.72825628673141285</c:v>
                </c:pt>
                <c:pt idx="4">
                  <c:v>0.72825628673141285</c:v>
                </c:pt>
                <c:pt idx="5">
                  <c:v>0.72825628673141285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9B-405D-AE97-975C297F3216}"/>
            </c:ext>
          </c:extLst>
        </c:ser>
        <c:ser>
          <c:idx val="8"/>
          <c:order val="8"/>
          <c:tx>
            <c:strRef>
              <c:f>Results!$I$26</c:f>
              <c:strCache>
                <c:ptCount val="1"/>
                <c:pt idx="0">
                  <c:v>Baggers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Results!$J$26:$O$26</c:f>
              <c:numCache>
                <c:formatCode>General</c:formatCode>
                <c:ptCount val="6"/>
                <c:pt idx="0">
                  <c:v>0.11143235955685947</c:v>
                </c:pt>
                <c:pt idx="1">
                  <c:v>0.130718601472956</c:v>
                </c:pt>
                <c:pt idx="2">
                  <c:v>0.130718601472956</c:v>
                </c:pt>
                <c:pt idx="3">
                  <c:v>0.13460262948543333</c:v>
                </c:pt>
                <c:pt idx="4">
                  <c:v>0.13460262948543333</c:v>
                </c:pt>
                <c:pt idx="5">
                  <c:v>0.13540689269211911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F9B-405D-AE97-975C297F3216}"/>
            </c:ext>
          </c:extLst>
        </c:ser>
        <c:ser>
          <c:idx val="9"/>
          <c:order val="9"/>
          <c:tx>
            <c:strRef>
              <c:f>Results!$I$27</c:f>
              <c:strCache>
                <c:ptCount val="1"/>
                <c:pt idx="0">
                  <c:v>Bagger Multiple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Results!$J$27:$O$27</c:f>
              <c:numCache>
                <c:formatCode>General</c:formatCode>
                <c:ptCount val="6"/>
                <c:pt idx="0">
                  <c:v>0.71826086956521729</c:v>
                </c:pt>
                <c:pt idx="1">
                  <c:v>0.71826086956521729</c:v>
                </c:pt>
                <c:pt idx="2">
                  <c:v>0.71826086956521729</c:v>
                </c:pt>
                <c:pt idx="3">
                  <c:v>0.71826086956521729</c:v>
                </c:pt>
                <c:pt idx="4">
                  <c:v>0.71826086956521729</c:v>
                </c:pt>
                <c:pt idx="5">
                  <c:v>0.71826086956521729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F9B-405D-AE97-975C297F3216}"/>
            </c:ext>
          </c:extLst>
        </c:ser>
        <c:ser>
          <c:idx val="10"/>
          <c:order val="10"/>
          <c:tx>
            <c:strRef>
              <c:f>Results!$I$28</c:f>
              <c:strCache>
                <c:ptCount val="1"/>
                <c:pt idx="0">
                  <c:v>Depucker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Results!$J$3:$O$3</c:f>
              <c:strCache>
                <c:ptCount val="6"/>
                <c:pt idx="0">
                  <c:v> 2, 1, 1.5, 1, 1, 3, 1,</c:v>
                </c:pt>
                <c:pt idx="1">
                  <c:v> 2, 1, 1.5, 1, 1, 4, 1,</c:v>
                </c:pt>
                <c:pt idx="2">
                  <c:v> 3, 1, 1.5, 1, 1, 4, 1,</c:v>
                </c:pt>
                <c:pt idx="3">
                  <c:v> 3, 1, 1.5, 1, 1, 5, 1,</c:v>
                </c:pt>
                <c:pt idx="4">
                  <c:v> 4, 1, 1.5, 1, 1, 5, 1,</c:v>
                </c:pt>
                <c:pt idx="5">
                  <c:v> 4, 1, 1.5, 1, 1, 6, 1,</c:v>
                </c:pt>
              </c:strCache>
            </c:strRef>
          </c:cat>
          <c:val>
            <c:numRef>
              <c:f>Results!$J$28:$O$28</c:f>
              <c:numCache>
                <c:formatCode>General</c:formatCode>
                <c:ptCount val="6"/>
                <c:pt idx="0">
                  <c:v>0.72586956521739132</c:v>
                </c:pt>
                <c:pt idx="1">
                  <c:v>0.72586956521739132</c:v>
                </c:pt>
                <c:pt idx="2">
                  <c:v>0.72586956521739132</c:v>
                </c:pt>
                <c:pt idx="3">
                  <c:v>0.72586956521739132</c:v>
                </c:pt>
                <c:pt idx="4">
                  <c:v>0.72586956521739132</c:v>
                </c:pt>
                <c:pt idx="5">
                  <c:v>0.72586956521739132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F9B-405D-AE97-975C297F3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9541184"/>
        <c:axId val="841060832"/>
      </c:lineChart>
      <c:catAx>
        <c:axId val="84954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060832"/>
        <c:crosses val="autoZero"/>
        <c:auto val="1"/>
        <c:lblAlgn val="ctr"/>
        <c:lblOffset val="100"/>
        <c:noMultiLvlLbl val="0"/>
      </c:catAx>
      <c:valAx>
        <c:axId val="84106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54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78303</xdr:colOff>
      <xdr:row>91</xdr:row>
      <xdr:rowOff>33057</xdr:rowOff>
    </xdr:from>
    <xdr:to>
      <xdr:col>2</xdr:col>
      <xdr:colOff>992703</xdr:colOff>
      <xdr:row>93</xdr:row>
      <xdr:rowOff>109257</xdr:rowOff>
    </xdr:to>
    <xdr:sp macro="" textlink="">
      <xdr:nvSpPr>
        <xdr:cNvPr id="2" name="Rectangle 1"/>
        <xdr:cNvSpPr/>
      </xdr:nvSpPr>
      <xdr:spPr>
        <a:xfrm>
          <a:off x="2375509" y="17368557"/>
          <a:ext cx="9144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Labeler</a:t>
          </a:r>
          <a:r>
            <a:rPr lang="en-US" sz="1100" baseline="0"/>
            <a:t> Small 1</a:t>
          </a:r>
        </a:p>
      </xdr:txBody>
    </xdr:sp>
    <xdr:clientData/>
  </xdr:twoCellAnchor>
  <xdr:twoCellAnchor>
    <xdr:from>
      <xdr:col>2</xdr:col>
      <xdr:colOff>58550</xdr:colOff>
      <xdr:row>106</xdr:row>
      <xdr:rowOff>26613</xdr:rowOff>
    </xdr:from>
    <xdr:to>
      <xdr:col>2</xdr:col>
      <xdr:colOff>972950</xdr:colOff>
      <xdr:row>108</xdr:row>
      <xdr:rowOff>102813</xdr:rowOff>
    </xdr:to>
    <xdr:sp macro="" textlink="">
      <xdr:nvSpPr>
        <xdr:cNvPr id="3" name="Rectangle 2"/>
        <xdr:cNvSpPr/>
      </xdr:nvSpPr>
      <xdr:spPr>
        <a:xfrm>
          <a:off x="2355756" y="20219613"/>
          <a:ext cx="9144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Labeler Big</a:t>
          </a:r>
        </a:p>
      </xdr:txBody>
    </xdr:sp>
    <xdr:clientData/>
  </xdr:twoCellAnchor>
  <xdr:twoCellAnchor>
    <xdr:from>
      <xdr:col>7</xdr:col>
      <xdr:colOff>440392</xdr:colOff>
      <xdr:row>0</xdr:row>
      <xdr:rowOff>117241</xdr:rowOff>
    </xdr:from>
    <xdr:to>
      <xdr:col>10</xdr:col>
      <xdr:colOff>422462</xdr:colOff>
      <xdr:row>3</xdr:row>
      <xdr:rowOff>2941</xdr:rowOff>
    </xdr:to>
    <xdr:sp macro="[0]!pi0_complex" textlink="">
      <xdr:nvSpPr>
        <xdr:cNvPr id="12" name="Rectangle 11"/>
        <xdr:cNvSpPr/>
      </xdr:nvSpPr>
      <xdr:spPr>
        <a:xfrm>
          <a:off x="6525186" y="117241"/>
          <a:ext cx="1371600" cy="4572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(3)</a:t>
          </a:r>
          <a:r>
            <a:rPr lang="en-US" sz="1100" baseline="0"/>
            <a:t> Compute Values (PRESS HERE)</a:t>
          </a:r>
        </a:p>
      </xdr:txBody>
    </xdr:sp>
    <xdr:clientData/>
  </xdr:twoCellAnchor>
  <xdr:twoCellAnchor editAs="absolute">
    <xdr:from>
      <xdr:col>3</xdr:col>
      <xdr:colOff>257734</xdr:colOff>
      <xdr:row>0</xdr:row>
      <xdr:rowOff>117241</xdr:rowOff>
    </xdr:from>
    <xdr:to>
      <xdr:col>4</xdr:col>
      <xdr:colOff>587187</xdr:colOff>
      <xdr:row>3</xdr:row>
      <xdr:rowOff>2941</xdr:rowOff>
    </xdr:to>
    <xdr:sp macro="" textlink="">
      <xdr:nvSpPr>
        <xdr:cNvPr id="13" name="Rectangle 12"/>
        <xdr:cNvSpPr/>
      </xdr:nvSpPr>
      <xdr:spPr>
        <a:xfrm>
          <a:off x="3709146" y="117241"/>
          <a:ext cx="13716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(1) Set Parameters (GREEN)</a:t>
          </a:r>
        </a:p>
      </xdr:txBody>
    </xdr:sp>
    <xdr:clientData/>
  </xdr:twoCellAnchor>
  <xdr:twoCellAnchor>
    <xdr:from>
      <xdr:col>4</xdr:col>
      <xdr:colOff>623607</xdr:colOff>
      <xdr:row>0</xdr:row>
      <xdr:rowOff>117241</xdr:rowOff>
    </xdr:from>
    <xdr:to>
      <xdr:col>7</xdr:col>
      <xdr:colOff>403972</xdr:colOff>
      <xdr:row>3</xdr:row>
      <xdr:rowOff>2941</xdr:rowOff>
    </xdr:to>
    <xdr:sp macro="" textlink="">
      <xdr:nvSpPr>
        <xdr:cNvPr id="14" name="Rectangle 13"/>
        <xdr:cNvSpPr/>
      </xdr:nvSpPr>
      <xdr:spPr>
        <a:xfrm>
          <a:off x="5117166" y="117241"/>
          <a:ext cx="13716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(2) Set values for</a:t>
          </a:r>
          <a:r>
            <a:rPr lang="en-US" sz="1100" baseline="0"/>
            <a:t> transition matrix</a:t>
          </a:r>
          <a:endParaRPr lang="en-US" sz="1100"/>
        </a:p>
      </xdr:txBody>
    </xdr:sp>
    <xdr:clientData/>
  </xdr:twoCellAnchor>
  <xdr:twoCellAnchor>
    <xdr:from>
      <xdr:col>14</xdr:col>
      <xdr:colOff>93638</xdr:colOff>
      <xdr:row>93</xdr:row>
      <xdr:rowOff>168642</xdr:rowOff>
    </xdr:from>
    <xdr:to>
      <xdr:col>16</xdr:col>
      <xdr:colOff>257734</xdr:colOff>
      <xdr:row>96</xdr:row>
      <xdr:rowOff>54342</xdr:rowOff>
    </xdr:to>
    <xdr:sp macro="" textlink="">
      <xdr:nvSpPr>
        <xdr:cNvPr id="30" name="Rectangle 29"/>
        <xdr:cNvSpPr/>
      </xdr:nvSpPr>
      <xdr:spPr>
        <a:xfrm>
          <a:off x="10840079" y="17885142"/>
          <a:ext cx="881273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Bagger</a:t>
          </a:r>
          <a:r>
            <a:rPr lang="en-US" sz="1100" baseline="0"/>
            <a:t>s Single</a:t>
          </a:r>
          <a:endParaRPr lang="en-US" sz="1100"/>
        </a:p>
      </xdr:txBody>
    </xdr:sp>
    <xdr:clientData/>
  </xdr:twoCellAnchor>
  <xdr:twoCellAnchor>
    <xdr:from>
      <xdr:col>14</xdr:col>
      <xdr:colOff>93639</xdr:colOff>
      <xdr:row>102</xdr:row>
      <xdr:rowOff>59945</xdr:rowOff>
    </xdr:from>
    <xdr:to>
      <xdr:col>16</xdr:col>
      <xdr:colOff>313764</xdr:colOff>
      <xdr:row>104</xdr:row>
      <xdr:rowOff>136145</xdr:rowOff>
    </xdr:to>
    <xdr:sp macro="" textlink="">
      <xdr:nvSpPr>
        <xdr:cNvPr id="33" name="Rectangle 32"/>
        <xdr:cNvSpPr/>
      </xdr:nvSpPr>
      <xdr:spPr>
        <a:xfrm>
          <a:off x="10840080" y="19490945"/>
          <a:ext cx="937302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Bagger</a:t>
          </a:r>
          <a:r>
            <a:rPr lang="en-US" sz="1100" baseline="0"/>
            <a:t> Multiple</a:t>
          </a:r>
          <a:endParaRPr lang="en-US" sz="1100"/>
        </a:p>
      </xdr:txBody>
    </xdr:sp>
    <xdr:clientData/>
  </xdr:twoCellAnchor>
  <xdr:twoCellAnchor>
    <xdr:from>
      <xdr:col>1</xdr:col>
      <xdr:colOff>180974</xdr:colOff>
      <xdr:row>98</xdr:row>
      <xdr:rowOff>62192</xdr:rowOff>
    </xdr:from>
    <xdr:to>
      <xdr:col>1</xdr:col>
      <xdr:colOff>638174</xdr:colOff>
      <xdr:row>100</xdr:row>
      <xdr:rowOff>138392</xdr:rowOff>
    </xdr:to>
    <xdr:sp macro="" textlink="">
      <xdr:nvSpPr>
        <xdr:cNvPr id="36" name="Oval 35"/>
        <xdr:cNvSpPr/>
      </xdr:nvSpPr>
      <xdr:spPr>
        <a:xfrm>
          <a:off x="1267945" y="18731192"/>
          <a:ext cx="457200" cy="457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28084</xdr:colOff>
      <xdr:row>91</xdr:row>
      <xdr:rowOff>33057</xdr:rowOff>
    </xdr:from>
    <xdr:to>
      <xdr:col>3</xdr:col>
      <xdr:colOff>1008530</xdr:colOff>
      <xdr:row>93</xdr:row>
      <xdr:rowOff>109257</xdr:rowOff>
    </xdr:to>
    <xdr:sp macro="" textlink="">
      <xdr:nvSpPr>
        <xdr:cNvPr id="43" name="Rectangle 42"/>
        <xdr:cNvSpPr/>
      </xdr:nvSpPr>
      <xdr:spPr>
        <a:xfrm>
          <a:off x="3479496" y="17368557"/>
          <a:ext cx="980446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Verification</a:t>
          </a:r>
          <a:r>
            <a:rPr lang="en-US" sz="1100" baseline="0"/>
            <a:t> Labeler Small</a:t>
          </a:r>
          <a:endParaRPr lang="en-US" sz="1100"/>
        </a:p>
      </xdr:txBody>
    </xdr:sp>
    <xdr:clientData/>
  </xdr:twoCellAnchor>
  <xdr:twoCellAnchor>
    <xdr:from>
      <xdr:col>10</xdr:col>
      <xdr:colOff>432058</xdr:colOff>
      <xdr:row>83</xdr:row>
      <xdr:rowOff>8963</xdr:rowOff>
    </xdr:from>
    <xdr:to>
      <xdr:col>12</xdr:col>
      <xdr:colOff>22413</xdr:colOff>
      <xdr:row>85</xdr:row>
      <xdr:rowOff>85163</xdr:rowOff>
    </xdr:to>
    <xdr:sp macro="" textlink="">
      <xdr:nvSpPr>
        <xdr:cNvPr id="53" name="Rectangle 52"/>
        <xdr:cNvSpPr/>
      </xdr:nvSpPr>
      <xdr:spPr>
        <a:xfrm>
          <a:off x="7906382" y="15820463"/>
          <a:ext cx="137209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Verification</a:t>
          </a:r>
          <a:r>
            <a:rPr lang="en-US" sz="1100" baseline="0"/>
            <a:t> Uber 1</a:t>
          </a:r>
          <a:endParaRPr lang="en-US" sz="1100"/>
        </a:p>
      </xdr:txBody>
    </xdr:sp>
    <xdr:clientData/>
  </xdr:twoCellAnchor>
  <xdr:twoCellAnchor>
    <xdr:from>
      <xdr:col>10</xdr:col>
      <xdr:colOff>429816</xdr:colOff>
      <xdr:row>120</xdr:row>
      <xdr:rowOff>57149</xdr:rowOff>
    </xdr:from>
    <xdr:to>
      <xdr:col>12</xdr:col>
      <xdr:colOff>0</xdr:colOff>
      <xdr:row>122</xdr:row>
      <xdr:rowOff>133349</xdr:rowOff>
    </xdr:to>
    <xdr:sp macro="" textlink="">
      <xdr:nvSpPr>
        <xdr:cNvPr id="55" name="Rectangle 54"/>
        <xdr:cNvSpPr/>
      </xdr:nvSpPr>
      <xdr:spPr>
        <a:xfrm>
          <a:off x="7904140" y="22917149"/>
          <a:ext cx="1351919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Verification</a:t>
          </a:r>
          <a:r>
            <a:rPr lang="en-US" sz="1100" baseline="0"/>
            <a:t> Uber 1</a:t>
          </a:r>
          <a:endParaRPr lang="en-US" sz="1100"/>
        </a:p>
      </xdr:txBody>
    </xdr:sp>
    <xdr:clientData/>
  </xdr:twoCellAnchor>
  <xdr:twoCellAnchor>
    <xdr:from>
      <xdr:col>3</xdr:col>
      <xdr:colOff>79630</xdr:colOff>
      <xdr:row>106</xdr:row>
      <xdr:rowOff>26613</xdr:rowOff>
    </xdr:from>
    <xdr:to>
      <xdr:col>4</xdr:col>
      <xdr:colOff>17929</xdr:colOff>
      <xdr:row>108</xdr:row>
      <xdr:rowOff>102813</xdr:rowOff>
    </xdr:to>
    <xdr:sp macro="" textlink="">
      <xdr:nvSpPr>
        <xdr:cNvPr id="66" name="Rectangle 65"/>
        <xdr:cNvSpPr/>
      </xdr:nvSpPr>
      <xdr:spPr>
        <a:xfrm>
          <a:off x="3531042" y="20219613"/>
          <a:ext cx="980446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Verification</a:t>
          </a:r>
          <a:r>
            <a:rPr lang="en-US" sz="1100" baseline="0"/>
            <a:t> Labeler Big</a:t>
          </a:r>
        </a:p>
        <a:p>
          <a:pPr algn="ctr"/>
          <a:endParaRPr lang="en-US" sz="1100"/>
        </a:p>
      </xdr:txBody>
    </xdr:sp>
    <xdr:clientData/>
  </xdr:twoCellAnchor>
  <xdr:twoCellAnchor>
    <xdr:from>
      <xdr:col>5</xdr:col>
      <xdr:colOff>377637</xdr:colOff>
      <xdr:row>77</xdr:row>
      <xdr:rowOff>22412</xdr:rowOff>
    </xdr:from>
    <xdr:to>
      <xdr:col>7</xdr:col>
      <xdr:colOff>7844</xdr:colOff>
      <xdr:row>77</xdr:row>
      <xdr:rowOff>154643</xdr:rowOff>
    </xdr:to>
    <xdr:sp macro="" textlink="">
      <xdr:nvSpPr>
        <xdr:cNvPr id="67" name="Rectangle 66"/>
        <xdr:cNvSpPr/>
      </xdr:nvSpPr>
      <xdr:spPr>
        <a:xfrm>
          <a:off x="5655608" y="14690912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101</a:t>
          </a:r>
        </a:p>
      </xdr:txBody>
    </xdr:sp>
    <xdr:clientData/>
  </xdr:twoCellAnchor>
  <xdr:twoCellAnchor>
    <xdr:from>
      <xdr:col>5</xdr:col>
      <xdr:colOff>377637</xdr:colOff>
      <xdr:row>78</xdr:row>
      <xdr:rowOff>22544</xdr:rowOff>
    </xdr:from>
    <xdr:to>
      <xdr:col>7</xdr:col>
      <xdr:colOff>7844</xdr:colOff>
      <xdr:row>78</xdr:row>
      <xdr:rowOff>154775</xdr:rowOff>
    </xdr:to>
    <xdr:sp macro="" textlink="">
      <xdr:nvSpPr>
        <xdr:cNvPr id="68" name="Rectangle 67"/>
        <xdr:cNvSpPr/>
      </xdr:nvSpPr>
      <xdr:spPr>
        <a:xfrm>
          <a:off x="5655608" y="14881544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102</a:t>
          </a:r>
        </a:p>
      </xdr:txBody>
    </xdr:sp>
    <xdr:clientData/>
  </xdr:twoCellAnchor>
  <xdr:twoCellAnchor>
    <xdr:from>
      <xdr:col>5</xdr:col>
      <xdr:colOff>377637</xdr:colOff>
      <xdr:row>79</xdr:row>
      <xdr:rowOff>22676</xdr:rowOff>
    </xdr:from>
    <xdr:to>
      <xdr:col>7</xdr:col>
      <xdr:colOff>7844</xdr:colOff>
      <xdr:row>79</xdr:row>
      <xdr:rowOff>154907</xdr:rowOff>
    </xdr:to>
    <xdr:sp macro="" textlink="">
      <xdr:nvSpPr>
        <xdr:cNvPr id="69" name="Rectangle 68"/>
        <xdr:cNvSpPr/>
      </xdr:nvSpPr>
      <xdr:spPr>
        <a:xfrm>
          <a:off x="5655608" y="15072176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103</a:t>
          </a:r>
        </a:p>
      </xdr:txBody>
    </xdr:sp>
    <xdr:clientData/>
  </xdr:twoCellAnchor>
  <xdr:twoCellAnchor>
    <xdr:from>
      <xdr:col>5</xdr:col>
      <xdr:colOff>377637</xdr:colOff>
      <xdr:row>80</xdr:row>
      <xdr:rowOff>22808</xdr:rowOff>
    </xdr:from>
    <xdr:to>
      <xdr:col>7</xdr:col>
      <xdr:colOff>7844</xdr:colOff>
      <xdr:row>80</xdr:row>
      <xdr:rowOff>155039</xdr:rowOff>
    </xdr:to>
    <xdr:sp macro="" textlink="">
      <xdr:nvSpPr>
        <xdr:cNvPr id="70" name="Rectangle 69"/>
        <xdr:cNvSpPr/>
      </xdr:nvSpPr>
      <xdr:spPr>
        <a:xfrm>
          <a:off x="5655608" y="15262808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104</a:t>
          </a:r>
        </a:p>
      </xdr:txBody>
    </xdr:sp>
    <xdr:clientData/>
  </xdr:twoCellAnchor>
  <xdr:twoCellAnchor>
    <xdr:from>
      <xdr:col>5</xdr:col>
      <xdr:colOff>377637</xdr:colOff>
      <xdr:row>81</xdr:row>
      <xdr:rowOff>22940</xdr:rowOff>
    </xdr:from>
    <xdr:to>
      <xdr:col>7</xdr:col>
      <xdr:colOff>7844</xdr:colOff>
      <xdr:row>81</xdr:row>
      <xdr:rowOff>155171</xdr:rowOff>
    </xdr:to>
    <xdr:sp macro="" textlink="">
      <xdr:nvSpPr>
        <xdr:cNvPr id="71" name="Rectangle 70"/>
        <xdr:cNvSpPr/>
      </xdr:nvSpPr>
      <xdr:spPr>
        <a:xfrm>
          <a:off x="5655608" y="15453440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105</a:t>
          </a:r>
        </a:p>
      </xdr:txBody>
    </xdr:sp>
    <xdr:clientData/>
  </xdr:twoCellAnchor>
  <xdr:twoCellAnchor>
    <xdr:from>
      <xdr:col>5</xdr:col>
      <xdr:colOff>377637</xdr:colOff>
      <xdr:row>82</xdr:row>
      <xdr:rowOff>16460</xdr:rowOff>
    </xdr:from>
    <xdr:to>
      <xdr:col>7</xdr:col>
      <xdr:colOff>7844</xdr:colOff>
      <xdr:row>82</xdr:row>
      <xdr:rowOff>161914</xdr:rowOff>
    </xdr:to>
    <xdr:sp macro="" textlink="">
      <xdr:nvSpPr>
        <xdr:cNvPr id="72" name="Rectangle 71"/>
        <xdr:cNvSpPr/>
      </xdr:nvSpPr>
      <xdr:spPr>
        <a:xfrm>
          <a:off x="5655608" y="15637460"/>
          <a:ext cx="437030" cy="1454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106</a:t>
          </a:r>
        </a:p>
      </xdr:txBody>
    </xdr:sp>
    <xdr:clientData/>
  </xdr:twoCellAnchor>
  <xdr:twoCellAnchor>
    <xdr:from>
      <xdr:col>5</xdr:col>
      <xdr:colOff>377637</xdr:colOff>
      <xdr:row>83</xdr:row>
      <xdr:rowOff>23204</xdr:rowOff>
    </xdr:from>
    <xdr:to>
      <xdr:col>7</xdr:col>
      <xdr:colOff>7844</xdr:colOff>
      <xdr:row>83</xdr:row>
      <xdr:rowOff>155435</xdr:rowOff>
    </xdr:to>
    <xdr:sp macro="" textlink="">
      <xdr:nvSpPr>
        <xdr:cNvPr id="73" name="Rectangle 72"/>
        <xdr:cNvSpPr/>
      </xdr:nvSpPr>
      <xdr:spPr>
        <a:xfrm>
          <a:off x="5655608" y="15834704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107</a:t>
          </a:r>
        </a:p>
      </xdr:txBody>
    </xdr:sp>
    <xdr:clientData/>
  </xdr:twoCellAnchor>
  <xdr:twoCellAnchor>
    <xdr:from>
      <xdr:col>5</xdr:col>
      <xdr:colOff>377637</xdr:colOff>
      <xdr:row>84</xdr:row>
      <xdr:rowOff>23336</xdr:rowOff>
    </xdr:from>
    <xdr:to>
      <xdr:col>7</xdr:col>
      <xdr:colOff>7844</xdr:colOff>
      <xdr:row>84</xdr:row>
      <xdr:rowOff>155567</xdr:rowOff>
    </xdr:to>
    <xdr:sp macro="" textlink="">
      <xdr:nvSpPr>
        <xdr:cNvPr id="74" name="Rectangle 73"/>
        <xdr:cNvSpPr/>
      </xdr:nvSpPr>
      <xdr:spPr>
        <a:xfrm>
          <a:off x="5655608" y="16025336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108</a:t>
          </a:r>
        </a:p>
      </xdr:txBody>
    </xdr:sp>
    <xdr:clientData/>
  </xdr:twoCellAnchor>
  <xdr:twoCellAnchor>
    <xdr:from>
      <xdr:col>5</xdr:col>
      <xdr:colOff>377637</xdr:colOff>
      <xdr:row>85</xdr:row>
      <xdr:rowOff>23468</xdr:rowOff>
    </xdr:from>
    <xdr:to>
      <xdr:col>7</xdr:col>
      <xdr:colOff>7844</xdr:colOff>
      <xdr:row>85</xdr:row>
      <xdr:rowOff>155699</xdr:rowOff>
    </xdr:to>
    <xdr:sp macro="" textlink="">
      <xdr:nvSpPr>
        <xdr:cNvPr id="75" name="Rectangle 74"/>
        <xdr:cNvSpPr/>
      </xdr:nvSpPr>
      <xdr:spPr>
        <a:xfrm>
          <a:off x="5655608" y="16215968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109</a:t>
          </a:r>
        </a:p>
      </xdr:txBody>
    </xdr:sp>
    <xdr:clientData/>
  </xdr:twoCellAnchor>
  <xdr:twoCellAnchor>
    <xdr:from>
      <xdr:col>5</xdr:col>
      <xdr:colOff>377637</xdr:colOff>
      <xdr:row>86</xdr:row>
      <xdr:rowOff>23600</xdr:rowOff>
    </xdr:from>
    <xdr:to>
      <xdr:col>7</xdr:col>
      <xdr:colOff>7844</xdr:colOff>
      <xdr:row>86</xdr:row>
      <xdr:rowOff>155831</xdr:rowOff>
    </xdr:to>
    <xdr:sp macro="" textlink="">
      <xdr:nvSpPr>
        <xdr:cNvPr id="76" name="Rectangle 75"/>
        <xdr:cNvSpPr/>
      </xdr:nvSpPr>
      <xdr:spPr>
        <a:xfrm>
          <a:off x="5655608" y="16406600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110</a:t>
          </a:r>
        </a:p>
      </xdr:txBody>
    </xdr:sp>
    <xdr:clientData/>
  </xdr:twoCellAnchor>
  <xdr:twoCellAnchor>
    <xdr:from>
      <xdr:col>5</xdr:col>
      <xdr:colOff>377637</xdr:colOff>
      <xdr:row>87</xdr:row>
      <xdr:rowOff>23732</xdr:rowOff>
    </xdr:from>
    <xdr:to>
      <xdr:col>7</xdr:col>
      <xdr:colOff>7844</xdr:colOff>
      <xdr:row>87</xdr:row>
      <xdr:rowOff>155963</xdr:rowOff>
    </xdr:to>
    <xdr:sp macro="" textlink="">
      <xdr:nvSpPr>
        <xdr:cNvPr id="77" name="Rectangle 76"/>
        <xdr:cNvSpPr/>
      </xdr:nvSpPr>
      <xdr:spPr>
        <a:xfrm>
          <a:off x="5655608" y="16597232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111</a:t>
          </a:r>
        </a:p>
      </xdr:txBody>
    </xdr:sp>
    <xdr:clientData/>
  </xdr:twoCellAnchor>
  <xdr:twoCellAnchor>
    <xdr:from>
      <xdr:col>5</xdr:col>
      <xdr:colOff>377637</xdr:colOff>
      <xdr:row>88</xdr:row>
      <xdr:rowOff>23864</xdr:rowOff>
    </xdr:from>
    <xdr:to>
      <xdr:col>7</xdr:col>
      <xdr:colOff>7844</xdr:colOff>
      <xdr:row>88</xdr:row>
      <xdr:rowOff>156095</xdr:rowOff>
    </xdr:to>
    <xdr:sp macro="" textlink="">
      <xdr:nvSpPr>
        <xdr:cNvPr id="78" name="Rectangle 77"/>
        <xdr:cNvSpPr/>
      </xdr:nvSpPr>
      <xdr:spPr>
        <a:xfrm>
          <a:off x="5655608" y="16787864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112</a:t>
          </a:r>
        </a:p>
      </xdr:txBody>
    </xdr:sp>
    <xdr:clientData/>
  </xdr:twoCellAnchor>
  <xdr:twoCellAnchor>
    <xdr:from>
      <xdr:col>5</xdr:col>
      <xdr:colOff>377637</xdr:colOff>
      <xdr:row>89</xdr:row>
      <xdr:rowOff>23996</xdr:rowOff>
    </xdr:from>
    <xdr:to>
      <xdr:col>7</xdr:col>
      <xdr:colOff>7844</xdr:colOff>
      <xdr:row>89</xdr:row>
      <xdr:rowOff>156227</xdr:rowOff>
    </xdr:to>
    <xdr:sp macro="" textlink="">
      <xdr:nvSpPr>
        <xdr:cNvPr id="79" name="Rectangle 78"/>
        <xdr:cNvSpPr/>
      </xdr:nvSpPr>
      <xdr:spPr>
        <a:xfrm>
          <a:off x="5655608" y="16978496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201</a:t>
          </a:r>
        </a:p>
      </xdr:txBody>
    </xdr:sp>
    <xdr:clientData/>
  </xdr:twoCellAnchor>
  <xdr:twoCellAnchor>
    <xdr:from>
      <xdr:col>5</xdr:col>
      <xdr:colOff>377637</xdr:colOff>
      <xdr:row>90</xdr:row>
      <xdr:rowOff>24128</xdr:rowOff>
    </xdr:from>
    <xdr:to>
      <xdr:col>7</xdr:col>
      <xdr:colOff>7844</xdr:colOff>
      <xdr:row>90</xdr:row>
      <xdr:rowOff>156359</xdr:rowOff>
    </xdr:to>
    <xdr:sp macro="" textlink="">
      <xdr:nvSpPr>
        <xdr:cNvPr id="80" name="Rectangle 79"/>
        <xdr:cNvSpPr/>
      </xdr:nvSpPr>
      <xdr:spPr>
        <a:xfrm>
          <a:off x="5655608" y="17169128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202</a:t>
          </a:r>
        </a:p>
      </xdr:txBody>
    </xdr:sp>
    <xdr:clientData/>
  </xdr:twoCellAnchor>
  <xdr:twoCellAnchor>
    <xdr:from>
      <xdr:col>5</xdr:col>
      <xdr:colOff>377637</xdr:colOff>
      <xdr:row>91</xdr:row>
      <xdr:rowOff>24260</xdr:rowOff>
    </xdr:from>
    <xdr:to>
      <xdr:col>7</xdr:col>
      <xdr:colOff>7844</xdr:colOff>
      <xdr:row>91</xdr:row>
      <xdr:rowOff>156491</xdr:rowOff>
    </xdr:to>
    <xdr:sp macro="" textlink="">
      <xdr:nvSpPr>
        <xdr:cNvPr id="81" name="Rectangle 80"/>
        <xdr:cNvSpPr/>
      </xdr:nvSpPr>
      <xdr:spPr>
        <a:xfrm>
          <a:off x="5655608" y="17359760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203</a:t>
          </a:r>
        </a:p>
      </xdr:txBody>
    </xdr:sp>
    <xdr:clientData/>
  </xdr:twoCellAnchor>
  <xdr:twoCellAnchor>
    <xdr:from>
      <xdr:col>5</xdr:col>
      <xdr:colOff>377637</xdr:colOff>
      <xdr:row>92</xdr:row>
      <xdr:rowOff>24392</xdr:rowOff>
    </xdr:from>
    <xdr:to>
      <xdr:col>7</xdr:col>
      <xdr:colOff>7844</xdr:colOff>
      <xdr:row>92</xdr:row>
      <xdr:rowOff>156623</xdr:rowOff>
    </xdr:to>
    <xdr:sp macro="" textlink="">
      <xdr:nvSpPr>
        <xdr:cNvPr id="82" name="Rectangle 81"/>
        <xdr:cNvSpPr/>
      </xdr:nvSpPr>
      <xdr:spPr>
        <a:xfrm>
          <a:off x="5655608" y="17550392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204</a:t>
          </a:r>
        </a:p>
      </xdr:txBody>
    </xdr:sp>
    <xdr:clientData/>
  </xdr:twoCellAnchor>
  <xdr:twoCellAnchor>
    <xdr:from>
      <xdr:col>5</xdr:col>
      <xdr:colOff>377637</xdr:colOff>
      <xdr:row>93</xdr:row>
      <xdr:rowOff>24524</xdr:rowOff>
    </xdr:from>
    <xdr:to>
      <xdr:col>7</xdr:col>
      <xdr:colOff>7844</xdr:colOff>
      <xdr:row>93</xdr:row>
      <xdr:rowOff>156755</xdr:rowOff>
    </xdr:to>
    <xdr:sp macro="" textlink="">
      <xdr:nvSpPr>
        <xdr:cNvPr id="83" name="Rectangle 82"/>
        <xdr:cNvSpPr/>
      </xdr:nvSpPr>
      <xdr:spPr>
        <a:xfrm>
          <a:off x="5655608" y="17741024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205</a:t>
          </a:r>
        </a:p>
      </xdr:txBody>
    </xdr:sp>
    <xdr:clientData/>
  </xdr:twoCellAnchor>
  <xdr:twoCellAnchor>
    <xdr:from>
      <xdr:col>5</xdr:col>
      <xdr:colOff>377637</xdr:colOff>
      <xdr:row>94</xdr:row>
      <xdr:rowOff>24651</xdr:rowOff>
    </xdr:from>
    <xdr:to>
      <xdr:col>7</xdr:col>
      <xdr:colOff>7844</xdr:colOff>
      <xdr:row>94</xdr:row>
      <xdr:rowOff>156882</xdr:rowOff>
    </xdr:to>
    <xdr:sp macro="" textlink="">
      <xdr:nvSpPr>
        <xdr:cNvPr id="84" name="Rectangle 83"/>
        <xdr:cNvSpPr/>
      </xdr:nvSpPr>
      <xdr:spPr>
        <a:xfrm>
          <a:off x="5655608" y="17931651"/>
          <a:ext cx="437030" cy="1322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206</a:t>
          </a:r>
        </a:p>
      </xdr:txBody>
    </xdr:sp>
    <xdr:clientData/>
  </xdr:twoCellAnchor>
  <xdr:twoCellAnchor>
    <xdr:from>
      <xdr:col>5</xdr:col>
      <xdr:colOff>377637</xdr:colOff>
      <xdr:row>95</xdr:row>
      <xdr:rowOff>17929</xdr:rowOff>
    </xdr:from>
    <xdr:to>
      <xdr:col>7</xdr:col>
      <xdr:colOff>7844</xdr:colOff>
      <xdr:row>95</xdr:row>
      <xdr:rowOff>150160</xdr:rowOff>
    </xdr:to>
    <xdr:sp macro="" textlink="">
      <xdr:nvSpPr>
        <xdr:cNvPr id="103" name="Rectangle 102"/>
        <xdr:cNvSpPr/>
      </xdr:nvSpPr>
      <xdr:spPr>
        <a:xfrm>
          <a:off x="5655608" y="18115429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101</a:t>
          </a:r>
        </a:p>
      </xdr:txBody>
    </xdr:sp>
    <xdr:clientData/>
  </xdr:twoCellAnchor>
  <xdr:twoCellAnchor>
    <xdr:from>
      <xdr:col>5</xdr:col>
      <xdr:colOff>377637</xdr:colOff>
      <xdr:row>96</xdr:row>
      <xdr:rowOff>18061</xdr:rowOff>
    </xdr:from>
    <xdr:to>
      <xdr:col>7</xdr:col>
      <xdr:colOff>7844</xdr:colOff>
      <xdr:row>96</xdr:row>
      <xdr:rowOff>150292</xdr:rowOff>
    </xdr:to>
    <xdr:sp macro="" textlink="">
      <xdr:nvSpPr>
        <xdr:cNvPr id="104" name="Rectangle 103"/>
        <xdr:cNvSpPr/>
      </xdr:nvSpPr>
      <xdr:spPr>
        <a:xfrm>
          <a:off x="5655608" y="18306061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102</a:t>
          </a:r>
        </a:p>
      </xdr:txBody>
    </xdr:sp>
    <xdr:clientData/>
  </xdr:twoCellAnchor>
  <xdr:twoCellAnchor>
    <xdr:from>
      <xdr:col>5</xdr:col>
      <xdr:colOff>377637</xdr:colOff>
      <xdr:row>97</xdr:row>
      <xdr:rowOff>18193</xdr:rowOff>
    </xdr:from>
    <xdr:to>
      <xdr:col>7</xdr:col>
      <xdr:colOff>7844</xdr:colOff>
      <xdr:row>97</xdr:row>
      <xdr:rowOff>150424</xdr:rowOff>
    </xdr:to>
    <xdr:sp macro="" textlink="">
      <xdr:nvSpPr>
        <xdr:cNvPr id="105" name="Rectangle 104"/>
        <xdr:cNvSpPr/>
      </xdr:nvSpPr>
      <xdr:spPr>
        <a:xfrm>
          <a:off x="5655608" y="18496693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103</a:t>
          </a:r>
        </a:p>
      </xdr:txBody>
    </xdr:sp>
    <xdr:clientData/>
  </xdr:twoCellAnchor>
  <xdr:twoCellAnchor>
    <xdr:from>
      <xdr:col>5</xdr:col>
      <xdr:colOff>377637</xdr:colOff>
      <xdr:row>98</xdr:row>
      <xdr:rowOff>18325</xdr:rowOff>
    </xdr:from>
    <xdr:to>
      <xdr:col>7</xdr:col>
      <xdr:colOff>7844</xdr:colOff>
      <xdr:row>98</xdr:row>
      <xdr:rowOff>150556</xdr:rowOff>
    </xdr:to>
    <xdr:sp macro="" textlink="">
      <xdr:nvSpPr>
        <xdr:cNvPr id="106" name="Rectangle 105"/>
        <xdr:cNvSpPr/>
      </xdr:nvSpPr>
      <xdr:spPr>
        <a:xfrm>
          <a:off x="5655608" y="18687325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104</a:t>
          </a:r>
        </a:p>
      </xdr:txBody>
    </xdr:sp>
    <xdr:clientData/>
  </xdr:twoCellAnchor>
  <xdr:twoCellAnchor>
    <xdr:from>
      <xdr:col>5</xdr:col>
      <xdr:colOff>377637</xdr:colOff>
      <xdr:row>99</xdr:row>
      <xdr:rowOff>18457</xdr:rowOff>
    </xdr:from>
    <xdr:to>
      <xdr:col>7</xdr:col>
      <xdr:colOff>7844</xdr:colOff>
      <xdr:row>99</xdr:row>
      <xdr:rowOff>150688</xdr:rowOff>
    </xdr:to>
    <xdr:sp macro="" textlink="">
      <xdr:nvSpPr>
        <xdr:cNvPr id="107" name="Rectangle 106"/>
        <xdr:cNvSpPr/>
      </xdr:nvSpPr>
      <xdr:spPr>
        <a:xfrm>
          <a:off x="5655608" y="18877957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105</a:t>
          </a:r>
        </a:p>
      </xdr:txBody>
    </xdr:sp>
    <xdr:clientData/>
  </xdr:twoCellAnchor>
  <xdr:twoCellAnchor>
    <xdr:from>
      <xdr:col>5</xdr:col>
      <xdr:colOff>377637</xdr:colOff>
      <xdr:row>100</xdr:row>
      <xdr:rowOff>18589</xdr:rowOff>
    </xdr:from>
    <xdr:to>
      <xdr:col>7</xdr:col>
      <xdr:colOff>7844</xdr:colOff>
      <xdr:row>100</xdr:row>
      <xdr:rowOff>150820</xdr:rowOff>
    </xdr:to>
    <xdr:sp macro="" textlink="">
      <xdr:nvSpPr>
        <xdr:cNvPr id="108" name="Rectangle 107"/>
        <xdr:cNvSpPr/>
      </xdr:nvSpPr>
      <xdr:spPr>
        <a:xfrm>
          <a:off x="5655608" y="19068589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106</a:t>
          </a:r>
        </a:p>
      </xdr:txBody>
    </xdr:sp>
    <xdr:clientData/>
  </xdr:twoCellAnchor>
  <xdr:twoCellAnchor>
    <xdr:from>
      <xdr:col>5</xdr:col>
      <xdr:colOff>377637</xdr:colOff>
      <xdr:row>101</xdr:row>
      <xdr:rowOff>18721</xdr:rowOff>
    </xdr:from>
    <xdr:to>
      <xdr:col>7</xdr:col>
      <xdr:colOff>7844</xdr:colOff>
      <xdr:row>101</xdr:row>
      <xdr:rowOff>150952</xdr:rowOff>
    </xdr:to>
    <xdr:sp macro="" textlink="">
      <xdr:nvSpPr>
        <xdr:cNvPr id="109" name="Rectangle 108"/>
        <xdr:cNvSpPr/>
      </xdr:nvSpPr>
      <xdr:spPr>
        <a:xfrm>
          <a:off x="5655608" y="19259221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107</a:t>
          </a:r>
        </a:p>
      </xdr:txBody>
    </xdr:sp>
    <xdr:clientData/>
  </xdr:twoCellAnchor>
  <xdr:twoCellAnchor>
    <xdr:from>
      <xdr:col>5</xdr:col>
      <xdr:colOff>377637</xdr:colOff>
      <xdr:row>102</xdr:row>
      <xdr:rowOff>18853</xdr:rowOff>
    </xdr:from>
    <xdr:to>
      <xdr:col>7</xdr:col>
      <xdr:colOff>7844</xdr:colOff>
      <xdr:row>102</xdr:row>
      <xdr:rowOff>151084</xdr:rowOff>
    </xdr:to>
    <xdr:sp macro="" textlink="">
      <xdr:nvSpPr>
        <xdr:cNvPr id="110" name="Rectangle 109"/>
        <xdr:cNvSpPr/>
      </xdr:nvSpPr>
      <xdr:spPr>
        <a:xfrm>
          <a:off x="5655608" y="19449853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108</a:t>
          </a:r>
        </a:p>
      </xdr:txBody>
    </xdr:sp>
    <xdr:clientData/>
  </xdr:twoCellAnchor>
  <xdr:twoCellAnchor>
    <xdr:from>
      <xdr:col>5</xdr:col>
      <xdr:colOff>377637</xdr:colOff>
      <xdr:row>103</xdr:row>
      <xdr:rowOff>18985</xdr:rowOff>
    </xdr:from>
    <xdr:to>
      <xdr:col>7</xdr:col>
      <xdr:colOff>7844</xdr:colOff>
      <xdr:row>103</xdr:row>
      <xdr:rowOff>151216</xdr:rowOff>
    </xdr:to>
    <xdr:sp macro="" textlink="">
      <xdr:nvSpPr>
        <xdr:cNvPr id="111" name="Rectangle 110"/>
        <xdr:cNvSpPr/>
      </xdr:nvSpPr>
      <xdr:spPr>
        <a:xfrm>
          <a:off x="5655608" y="19640485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109</a:t>
          </a:r>
        </a:p>
      </xdr:txBody>
    </xdr:sp>
    <xdr:clientData/>
  </xdr:twoCellAnchor>
  <xdr:twoCellAnchor>
    <xdr:from>
      <xdr:col>5</xdr:col>
      <xdr:colOff>377637</xdr:colOff>
      <xdr:row>104</xdr:row>
      <xdr:rowOff>19117</xdr:rowOff>
    </xdr:from>
    <xdr:to>
      <xdr:col>7</xdr:col>
      <xdr:colOff>7844</xdr:colOff>
      <xdr:row>104</xdr:row>
      <xdr:rowOff>151348</xdr:rowOff>
    </xdr:to>
    <xdr:sp macro="" textlink="">
      <xdr:nvSpPr>
        <xdr:cNvPr id="112" name="Rectangle 111"/>
        <xdr:cNvSpPr/>
      </xdr:nvSpPr>
      <xdr:spPr>
        <a:xfrm>
          <a:off x="5655608" y="19831117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110</a:t>
          </a:r>
        </a:p>
      </xdr:txBody>
    </xdr:sp>
    <xdr:clientData/>
  </xdr:twoCellAnchor>
  <xdr:twoCellAnchor>
    <xdr:from>
      <xdr:col>5</xdr:col>
      <xdr:colOff>377637</xdr:colOff>
      <xdr:row>105</xdr:row>
      <xdr:rowOff>19249</xdr:rowOff>
    </xdr:from>
    <xdr:to>
      <xdr:col>7</xdr:col>
      <xdr:colOff>7844</xdr:colOff>
      <xdr:row>105</xdr:row>
      <xdr:rowOff>151480</xdr:rowOff>
    </xdr:to>
    <xdr:sp macro="" textlink="">
      <xdr:nvSpPr>
        <xdr:cNvPr id="113" name="Rectangle 112"/>
        <xdr:cNvSpPr/>
      </xdr:nvSpPr>
      <xdr:spPr>
        <a:xfrm>
          <a:off x="5655608" y="20021749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111</a:t>
          </a:r>
        </a:p>
      </xdr:txBody>
    </xdr:sp>
    <xdr:clientData/>
  </xdr:twoCellAnchor>
  <xdr:twoCellAnchor>
    <xdr:from>
      <xdr:col>5</xdr:col>
      <xdr:colOff>377637</xdr:colOff>
      <xdr:row>106</xdr:row>
      <xdr:rowOff>19381</xdr:rowOff>
    </xdr:from>
    <xdr:to>
      <xdr:col>7</xdr:col>
      <xdr:colOff>7844</xdr:colOff>
      <xdr:row>106</xdr:row>
      <xdr:rowOff>151612</xdr:rowOff>
    </xdr:to>
    <xdr:sp macro="" textlink="">
      <xdr:nvSpPr>
        <xdr:cNvPr id="114" name="Rectangle 113"/>
        <xdr:cNvSpPr/>
      </xdr:nvSpPr>
      <xdr:spPr>
        <a:xfrm>
          <a:off x="5655608" y="20212381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112</a:t>
          </a:r>
        </a:p>
      </xdr:txBody>
    </xdr:sp>
    <xdr:clientData/>
  </xdr:twoCellAnchor>
  <xdr:twoCellAnchor>
    <xdr:from>
      <xdr:col>5</xdr:col>
      <xdr:colOff>377637</xdr:colOff>
      <xdr:row>107</xdr:row>
      <xdr:rowOff>19513</xdr:rowOff>
    </xdr:from>
    <xdr:to>
      <xdr:col>7</xdr:col>
      <xdr:colOff>7844</xdr:colOff>
      <xdr:row>107</xdr:row>
      <xdr:rowOff>151744</xdr:rowOff>
    </xdr:to>
    <xdr:sp macro="" textlink="">
      <xdr:nvSpPr>
        <xdr:cNvPr id="115" name="Rectangle 114"/>
        <xdr:cNvSpPr/>
      </xdr:nvSpPr>
      <xdr:spPr>
        <a:xfrm>
          <a:off x="5655608" y="20403013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201</a:t>
          </a:r>
        </a:p>
      </xdr:txBody>
    </xdr:sp>
    <xdr:clientData/>
  </xdr:twoCellAnchor>
  <xdr:twoCellAnchor>
    <xdr:from>
      <xdr:col>5</xdr:col>
      <xdr:colOff>377637</xdr:colOff>
      <xdr:row>108</xdr:row>
      <xdr:rowOff>19645</xdr:rowOff>
    </xdr:from>
    <xdr:to>
      <xdr:col>7</xdr:col>
      <xdr:colOff>7844</xdr:colOff>
      <xdr:row>108</xdr:row>
      <xdr:rowOff>151876</xdr:rowOff>
    </xdr:to>
    <xdr:sp macro="" textlink="">
      <xdr:nvSpPr>
        <xdr:cNvPr id="116" name="Rectangle 115"/>
        <xdr:cNvSpPr/>
      </xdr:nvSpPr>
      <xdr:spPr>
        <a:xfrm>
          <a:off x="5655608" y="20593645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202</a:t>
          </a:r>
        </a:p>
      </xdr:txBody>
    </xdr:sp>
    <xdr:clientData/>
  </xdr:twoCellAnchor>
  <xdr:twoCellAnchor>
    <xdr:from>
      <xdr:col>5</xdr:col>
      <xdr:colOff>377637</xdr:colOff>
      <xdr:row>109</xdr:row>
      <xdr:rowOff>19777</xdr:rowOff>
    </xdr:from>
    <xdr:to>
      <xdr:col>7</xdr:col>
      <xdr:colOff>7844</xdr:colOff>
      <xdr:row>109</xdr:row>
      <xdr:rowOff>152008</xdr:rowOff>
    </xdr:to>
    <xdr:sp macro="" textlink="">
      <xdr:nvSpPr>
        <xdr:cNvPr id="117" name="Rectangle 116"/>
        <xdr:cNvSpPr/>
      </xdr:nvSpPr>
      <xdr:spPr>
        <a:xfrm>
          <a:off x="5655608" y="20784277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203</a:t>
          </a:r>
        </a:p>
      </xdr:txBody>
    </xdr:sp>
    <xdr:clientData/>
  </xdr:twoCellAnchor>
  <xdr:twoCellAnchor>
    <xdr:from>
      <xdr:col>5</xdr:col>
      <xdr:colOff>377637</xdr:colOff>
      <xdr:row>110</xdr:row>
      <xdr:rowOff>19909</xdr:rowOff>
    </xdr:from>
    <xdr:to>
      <xdr:col>7</xdr:col>
      <xdr:colOff>7844</xdr:colOff>
      <xdr:row>110</xdr:row>
      <xdr:rowOff>152140</xdr:rowOff>
    </xdr:to>
    <xdr:sp macro="" textlink="">
      <xdr:nvSpPr>
        <xdr:cNvPr id="118" name="Rectangle 117"/>
        <xdr:cNvSpPr/>
      </xdr:nvSpPr>
      <xdr:spPr>
        <a:xfrm>
          <a:off x="5655608" y="20974909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204</a:t>
          </a:r>
        </a:p>
      </xdr:txBody>
    </xdr:sp>
    <xdr:clientData/>
  </xdr:twoCellAnchor>
  <xdr:twoCellAnchor>
    <xdr:from>
      <xdr:col>5</xdr:col>
      <xdr:colOff>377637</xdr:colOff>
      <xdr:row>111</xdr:row>
      <xdr:rowOff>20041</xdr:rowOff>
    </xdr:from>
    <xdr:to>
      <xdr:col>7</xdr:col>
      <xdr:colOff>7844</xdr:colOff>
      <xdr:row>111</xdr:row>
      <xdr:rowOff>152272</xdr:rowOff>
    </xdr:to>
    <xdr:sp macro="" textlink="">
      <xdr:nvSpPr>
        <xdr:cNvPr id="119" name="Rectangle 118"/>
        <xdr:cNvSpPr/>
      </xdr:nvSpPr>
      <xdr:spPr>
        <a:xfrm>
          <a:off x="5655608" y="21165541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205</a:t>
          </a:r>
        </a:p>
      </xdr:txBody>
    </xdr:sp>
    <xdr:clientData/>
  </xdr:twoCellAnchor>
  <xdr:twoCellAnchor>
    <xdr:from>
      <xdr:col>5</xdr:col>
      <xdr:colOff>377637</xdr:colOff>
      <xdr:row>112</xdr:row>
      <xdr:rowOff>20168</xdr:rowOff>
    </xdr:from>
    <xdr:to>
      <xdr:col>7</xdr:col>
      <xdr:colOff>7844</xdr:colOff>
      <xdr:row>112</xdr:row>
      <xdr:rowOff>152399</xdr:rowOff>
    </xdr:to>
    <xdr:sp macro="" textlink="">
      <xdr:nvSpPr>
        <xdr:cNvPr id="120" name="Rectangle 119"/>
        <xdr:cNvSpPr/>
      </xdr:nvSpPr>
      <xdr:spPr>
        <a:xfrm>
          <a:off x="5655608" y="21356168"/>
          <a:ext cx="437030" cy="13223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206</a:t>
          </a:r>
        </a:p>
      </xdr:txBody>
    </xdr:sp>
    <xdr:clientData/>
  </xdr:twoCellAnchor>
  <xdr:twoCellAnchor>
    <xdr:from>
      <xdr:col>5</xdr:col>
      <xdr:colOff>377637</xdr:colOff>
      <xdr:row>113</xdr:row>
      <xdr:rowOff>24652</xdr:rowOff>
    </xdr:from>
    <xdr:to>
      <xdr:col>7</xdr:col>
      <xdr:colOff>7844</xdr:colOff>
      <xdr:row>113</xdr:row>
      <xdr:rowOff>156883</xdr:rowOff>
    </xdr:to>
    <xdr:sp macro="" textlink="">
      <xdr:nvSpPr>
        <xdr:cNvPr id="139" name="Rectangle 138"/>
        <xdr:cNvSpPr/>
      </xdr:nvSpPr>
      <xdr:spPr>
        <a:xfrm>
          <a:off x="5655608" y="21551152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101</a:t>
          </a:r>
        </a:p>
      </xdr:txBody>
    </xdr:sp>
    <xdr:clientData/>
  </xdr:twoCellAnchor>
  <xdr:twoCellAnchor>
    <xdr:from>
      <xdr:col>5</xdr:col>
      <xdr:colOff>377637</xdr:colOff>
      <xdr:row>114</xdr:row>
      <xdr:rowOff>24784</xdr:rowOff>
    </xdr:from>
    <xdr:to>
      <xdr:col>7</xdr:col>
      <xdr:colOff>7844</xdr:colOff>
      <xdr:row>114</xdr:row>
      <xdr:rowOff>157015</xdr:rowOff>
    </xdr:to>
    <xdr:sp macro="" textlink="">
      <xdr:nvSpPr>
        <xdr:cNvPr id="140" name="Rectangle 139"/>
        <xdr:cNvSpPr/>
      </xdr:nvSpPr>
      <xdr:spPr>
        <a:xfrm>
          <a:off x="5655608" y="21741784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102</a:t>
          </a:r>
        </a:p>
      </xdr:txBody>
    </xdr:sp>
    <xdr:clientData/>
  </xdr:twoCellAnchor>
  <xdr:twoCellAnchor>
    <xdr:from>
      <xdr:col>5</xdr:col>
      <xdr:colOff>377637</xdr:colOff>
      <xdr:row>115</xdr:row>
      <xdr:rowOff>24916</xdr:rowOff>
    </xdr:from>
    <xdr:to>
      <xdr:col>7</xdr:col>
      <xdr:colOff>7844</xdr:colOff>
      <xdr:row>115</xdr:row>
      <xdr:rowOff>157147</xdr:rowOff>
    </xdr:to>
    <xdr:sp macro="" textlink="">
      <xdr:nvSpPr>
        <xdr:cNvPr id="141" name="Rectangle 140"/>
        <xdr:cNvSpPr/>
      </xdr:nvSpPr>
      <xdr:spPr>
        <a:xfrm>
          <a:off x="5655608" y="21932416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103</a:t>
          </a:r>
        </a:p>
      </xdr:txBody>
    </xdr:sp>
    <xdr:clientData/>
  </xdr:twoCellAnchor>
  <xdr:twoCellAnchor>
    <xdr:from>
      <xdr:col>5</xdr:col>
      <xdr:colOff>377637</xdr:colOff>
      <xdr:row>116</xdr:row>
      <xdr:rowOff>25048</xdr:rowOff>
    </xdr:from>
    <xdr:to>
      <xdr:col>7</xdr:col>
      <xdr:colOff>7844</xdr:colOff>
      <xdr:row>116</xdr:row>
      <xdr:rowOff>157279</xdr:rowOff>
    </xdr:to>
    <xdr:sp macro="" textlink="">
      <xdr:nvSpPr>
        <xdr:cNvPr id="142" name="Rectangle 141"/>
        <xdr:cNvSpPr/>
      </xdr:nvSpPr>
      <xdr:spPr>
        <a:xfrm>
          <a:off x="5655608" y="22123048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104</a:t>
          </a:r>
        </a:p>
      </xdr:txBody>
    </xdr:sp>
    <xdr:clientData/>
  </xdr:twoCellAnchor>
  <xdr:twoCellAnchor>
    <xdr:from>
      <xdr:col>5</xdr:col>
      <xdr:colOff>377637</xdr:colOff>
      <xdr:row>117</xdr:row>
      <xdr:rowOff>25180</xdr:rowOff>
    </xdr:from>
    <xdr:to>
      <xdr:col>7</xdr:col>
      <xdr:colOff>7844</xdr:colOff>
      <xdr:row>117</xdr:row>
      <xdr:rowOff>157411</xdr:rowOff>
    </xdr:to>
    <xdr:sp macro="" textlink="">
      <xdr:nvSpPr>
        <xdr:cNvPr id="143" name="Rectangle 142"/>
        <xdr:cNvSpPr/>
      </xdr:nvSpPr>
      <xdr:spPr>
        <a:xfrm>
          <a:off x="5655608" y="22313680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105</a:t>
          </a:r>
        </a:p>
      </xdr:txBody>
    </xdr:sp>
    <xdr:clientData/>
  </xdr:twoCellAnchor>
  <xdr:twoCellAnchor>
    <xdr:from>
      <xdr:col>5</xdr:col>
      <xdr:colOff>377637</xdr:colOff>
      <xdr:row>118</xdr:row>
      <xdr:rowOff>25312</xdr:rowOff>
    </xdr:from>
    <xdr:to>
      <xdr:col>7</xdr:col>
      <xdr:colOff>7844</xdr:colOff>
      <xdr:row>118</xdr:row>
      <xdr:rowOff>157543</xdr:rowOff>
    </xdr:to>
    <xdr:sp macro="" textlink="">
      <xdr:nvSpPr>
        <xdr:cNvPr id="144" name="Rectangle 143"/>
        <xdr:cNvSpPr/>
      </xdr:nvSpPr>
      <xdr:spPr>
        <a:xfrm>
          <a:off x="5655608" y="22504312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106</a:t>
          </a:r>
        </a:p>
      </xdr:txBody>
    </xdr:sp>
    <xdr:clientData/>
  </xdr:twoCellAnchor>
  <xdr:twoCellAnchor>
    <xdr:from>
      <xdr:col>5</xdr:col>
      <xdr:colOff>377637</xdr:colOff>
      <xdr:row>119</xdr:row>
      <xdr:rowOff>25444</xdr:rowOff>
    </xdr:from>
    <xdr:to>
      <xdr:col>7</xdr:col>
      <xdr:colOff>7844</xdr:colOff>
      <xdr:row>119</xdr:row>
      <xdr:rowOff>157675</xdr:rowOff>
    </xdr:to>
    <xdr:sp macro="" textlink="">
      <xdr:nvSpPr>
        <xdr:cNvPr id="145" name="Rectangle 144"/>
        <xdr:cNvSpPr/>
      </xdr:nvSpPr>
      <xdr:spPr>
        <a:xfrm>
          <a:off x="5655608" y="22694944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107</a:t>
          </a:r>
        </a:p>
      </xdr:txBody>
    </xdr:sp>
    <xdr:clientData/>
  </xdr:twoCellAnchor>
  <xdr:twoCellAnchor>
    <xdr:from>
      <xdr:col>5</xdr:col>
      <xdr:colOff>377637</xdr:colOff>
      <xdr:row>120</xdr:row>
      <xdr:rowOff>25576</xdr:rowOff>
    </xdr:from>
    <xdr:to>
      <xdr:col>7</xdr:col>
      <xdr:colOff>7844</xdr:colOff>
      <xdr:row>120</xdr:row>
      <xdr:rowOff>157807</xdr:rowOff>
    </xdr:to>
    <xdr:sp macro="" textlink="">
      <xdr:nvSpPr>
        <xdr:cNvPr id="146" name="Rectangle 145"/>
        <xdr:cNvSpPr/>
      </xdr:nvSpPr>
      <xdr:spPr>
        <a:xfrm>
          <a:off x="5655608" y="22885576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108</a:t>
          </a:r>
        </a:p>
      </xdr:txBody>
    </xdr:sp>
    <xdr:clientData/>
  </xdr:twoCellAnchor>
  <xdr:twoCellAnchor>
    <xdr:from>
      <xdr:col>5</xdr:col>
      <xdr:colOff>377637</xdr:colOff>
      <xdr:row>121</xdr:row>
      <xdr:rowOff>25708</xdr:rowOff>
    </xdr:from>
    <xdr:to>
      <xdr:col>7</xdr:col>
      <xdr:colOff>7844</xdr:colOff>
      <xdr:row>121</xdr:row>
      <xdr:rowOff>157939</xdr:rowOff>
    </xdr:to>
    <xdr:sp macro="" textlink="">
      <xdr:nvSpPr>
        <xdr:cNvPr id="147" name="Rectangle 146"/>
        <xdr:cNvSpPr/>
      </xdr:nvSpPr>
      <xdr:spPr>
        <a:xfrm>
          <a:off x="5655608" y="23076208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109</a:t>
          </a:r>
        </a:p>
      </xdr:txBody>
    </xdr:sp>
    <xdr:clientData/>
  </xdr:twoCellAnchor>
  <xdr:twoCellAnchor>
    <xdr:from>
      <xdr:col>5</xdr:col>
      <xdr:colOff>377637</xdr:colOff>
      <xdr:row>122</xdr:row>
      <xdr:rowOff>25840</xdr:rowOff>
    </xdr:from>
    <xdr:to>
      <xdr:col>7</xdr:col>
      <xdr:colOff>7844</xdr:colOff>
      <xdr:row>122</xdr:row>
      <xdr:rowOff>158071</xdr:rowOff>
    </xdr:to>
    <xdr:sp macro="" textlink="">
      <xdr:nvSpPr>
        <xdr:cNvPr id="148" name="Rectangle 147"/>
        <xdr:cNvSpPr/>
      </xdr:nvSpPr>
      <xdr:spPr>
        <a:xfrm>
          <a:off x="5655608" y="23266840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110</a:t>
          </a:r>
        </a:p>
      </xdr:txBody>
    </xdr:sp>
    <xdr:clientData/>
  </xdr:twoCellAnchor>
  <xdr:twoCellAnchor>
    <xdr:from>
      <xdr:col>5</xdr:col>
      <xdr:colOff>377637</xdr:colOff>
      <xdr:row>123</xdr:row>
      <xdr:rowOff>25972</xdr:rowOff>
    </xdr:from>
    <xdr:to>
      <xdr:col>7</xdr:col>
      <xdr:colOff>7844</xdr:colOff>
      <xdr:row>123</xdr:row>
      <xdr:rowOff>158203</xdr:rowOff>
    </xdr:to>
    <xdr:sp macro="" textlink="">
      <xdr:nvSpPr>
        <xdr:cNvPr id="149" name="Rectangle 148"/>
        <xdr:cNvSpPr/>
      </xdr:nvSpPr>
      <xdr:spPr>
        <a:xfrm>
          <a:off x="5655608" y="23457472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111</a:t>
          </a:r>
        </a:p>
      </xdr:txBody>
    </xdr:sp>
    <xdr:clientData/>
  </xdr:twoCellAnchor>
  <xdr:twoCellAnchor>
    <xdr:from>
      <xdr:col>5</xdr:col>
      <xdr:colOff>377637</xdr:colOff>
      <xdr:row>124</xdr:row>
      <xdr:rowOff>26104</xdr:rowOff>
    </xdr:from>
    <xdr:to>
      <xdr:col>7</xdr:col>
      <xdr:colOff>7844</xdr:colOff>
      <xdr:row>124</xdr:row>
      <xdr:rowOff>158335</xdr:rowOff>
    </xdr:to>
    <xdr:sp macro="" textlink="">
      <xdr:nvSpPr>
        <xdr:cNvPr id="150" name="Rectangle 149"/>
        <xdr:cNvSpPr/>
      </xdr:nvSpPr>
      <xdr:spPr>
        <a:xfrm>
          <a:off x="5655608" y="23648104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112</a:t>
          </a:r>
        </a:p>
      </xdr:txBody>
    </xdr:sp>
    <xdr:clientData/>
  </xdr:twoCellAnchor>
  <xdr:twoCellAnchor>
    <xdr:from>
      <xdr:col>5</xdr:col>
      <xdr:colOff>377637</xdr:colOff>
      <xdr:row>125</xdr:row>
      <xdr:rowOff>26236</xdr:rowOff>
    </xdr:from>
    <xdr:to>
      <xdr:col>7</xdr:col>
      <xdr:colOff>7844</xdr:colOff>
      <xdr:row>125</xdr:row>
      <xdr:rowOff>158467</xdr:rowOff>
    </xdr:to>
    <xdr:sp macro="" textlink="">
      <xdr:nvSpPr>
        <xdr:cNvPr id="151" name="Rectangle 150"/>
        <xdr:cNvSpPr/>
      </xdr:nvSpPr>
      <xdr:spPr>
        <a:xfrm>
          <a:off x="5655608" y="23838736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201</a:t>
          </a:r>
        </a:p>
      </xdr:txBody>
    </xdr:sp>
    <xdr:clientData/>
  </xdr:twoCellAnchor>
  <xdr:twoCellAnchor>
    <xdr:from>
      <xdr:col>5</xdr:col>
      <xdr:colOff>377637</xdr:colOff>
      <xdr:row>126</xdr:row>
      <xdr:rowOff>26368</xdr:rowOff>
    </xdr:from>
    <xdr:to>
      <xdr:col>7</xdr:col>
      <xdr:colOff>7844</xdr:colOff>
      <xdr:row>126</xdr:row>
      <xdr:rowOff>158599</xdr:rowOff>
    </xdr:to>
    <xdr:sp macro="" textlink="">
      <xdr:nvSpPr>
        <xdr:cNvPr id="152" name="Rectangle 151"/>
        <xdr:cNvSpPr/>
      </xdr:nvSpPr>
      <xdr:spPr>
        <a:xfrm>
          <a:off x="5655608" y="24029368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202</a:t>
          </a:r>
        </a:p>
      </xdr:txBody>
    </xdr:sp>
    <xdr:clientData/>
  </xdr:twoCellAnchor>
  <xdr:twoCellAnchor>
    <xdr:from>
      <xdr:col>5</xdr:col>
      <xdr:colOff>377637</xdr:colOff>
      <xdr:row>127</xdr:row>
      <xdr:rowOff>26500</xdr:rowOff>
    </xdr:from>
    <xdr:to>
      <xdr:col>7</xdr:col>
      <xdr:colOff>7844</xdr:colOff>
      <xdr:row>127</xdr:row>
      <xdr:rowOff>158731</xdr:rowOff>
    </xdr:to>
    <xdr:sp macro="" textlink="">
      <xdr:nvSpPr>
        <xdr:cNvPr id="153" name="Rectangle 152"/>
        <xdr:cNvSpPr/>
      </xdr:nvSpPr>
      <xdr:spPr>
        <a:xfrm>
          <a:off x="5655608" y="24220000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203</a:t>
          </a:r>
        </a:p>
      </xdr:txBody>
    </xdr:sp>
    <xdr:clientData/>
  </xdr:twoCellAnchor>
  <xdr:twoCellAnchor>
    <xdr:from>
      <xdr:col>5</xdr:col>
      <xdr:colOff>377637</xdr:colOff>
      <xdr:row>128</xdr:row>
      <xdr:rowOff>26632</xdr:rowOff>
    </xdr:from>
    <xdr:to>
      <xdr:col>7</xdr:col>
      <xdr:colOff>7844</xdr:colOff>
      <xdr:row>128</xdr:row>
      <xdr:rowOff>158863</xdr:rowOff>
    </xdr:to>
    <xdr:sp macro="" textlink="">
      <xdr:nvSpPr>
        <xdr:cNvPr id="154" name="Rectangle 153"/>
        <xdr:cNvSpPr/>
      </xdr:nvSpPr>
      <xdr:spPr>
        <a:xfrm>
          <a:off x="5655608" y="24410632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204</a:t>
          </a:r>
        </a:p>
      </xdr:txBody>
    </xdr:sp>
    <xdr:clientData/>
  </xdr:twoCellAnchor>
  <xdr:twoCellAnchor>
    <xdr:from>
      <xdr:col>5</xdr:col>
      <xdr:colOff>377637</xdr:colOff>
      <xdr:row>129</xdr:row>
      <xdr:rowOff>26764</xdr:rowOff>
    </xdr:from>
    <xdr:to>
      <xdr:col>7</xdr:col>
      <xdr:colOff>7844</xdr:colOff>
      <xdr:row>129</xdr:row>
      <xdr:rowOff>158995</xdr:rowOff>
    </xdr:to>
    <xdr:sp macro="" textlink="">
      <xdr:nvSpPr>
        <xdr:cNvPr id="155" name="Rectangle 154"/>
        <xdr:cNvSpPr/>
      </xdr:nvSpPr>
      <xdr:spPr>
        <a:xfrm>
          <a:off x="5655608" y="24601264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205</a:t>
          </a:r>
        </a:p>
      </xdr:txBody>
    </xdr:sp>
    <xdr:clientData/>
  </xdr:twoCellAnchor>
  <xdr:twoCellAnchor>
    <xdr:from>
      <xdr:col>5</xdr:col>
      <xdr:colOff>377637</xdr:colOff>
      <xdr:row>130</xdr:row>
      <xdr:rowOff>26891</xdr:rowOff>
    </xdr:from>
    <xdr:to>
      <xdr:col>7</xdr:col>
      <xdr:colOff>7844</xdr:colOff>
      <xdr:row>130</xdr:row>
      <xdr:rowOff>159122</xdr:rowOff>
    </xdr:to>
    <xdr:sp macro="" textlink="">
      <xdr:nvSpPr>
        <xdr:cNvPr id="156" name="Rectangle 155"/>
        <xdr:cNvSpPr/>
      </xdr:nvSpPr>
      <xdr:spPr>
        <a:xfrm>
          <a:off x="5655608" y="24791891"/>
          <a:ext cx="437030" cy="1322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aseline="0"/>
            <a:t>206</a:t>
          </a:r>
        </a:p>
      </xdr:txBody>
    </xdr:sp>
    <xdr:clientData/>
  </xdr:twoCellAnchor>
  <xdr:twoCellAnchor>
    <xdr:from>
      <xdr:col>11</xdr:col>
      <xdr:colOff>12957</xdr:colOff>
      <xdr:row>102</xdr:row>
      <xdr:rowOff>60510</xdr:rowOff>
    </xdr:from>
    <xdr:to>
      <xdr:col>11</xdr:col>
      <xdr:colOff>1322295</xdr:colOff>
      <xdr:row>104</xdr:row>
      <xdr:rowOff>136710</xdr:rowOff>
    </xdr:to>
    <xdr:sp macro="" textlink="">
      <xdr:nvSpPr>
        <xdr:cNvPr id="157" name="Rectangle 156"/>
        <xdr:cNvSpPr/>
      </xdr:nvSpPr>
      <xdr:spPr>
        <a:xfrm>
          <a:off x="7935516" y="19491510"/>
          <a:ext cx="1309338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Verification</a:t>
          </a:r>
          <a:r>
            <a:rPr lang="en-US" sz="1100" baseline="0"/>
            <a:t> Uber 1</a:t>
          </a:r>
          <a:endParaRPr lang="en-US" sz="1100"/>
        </a:p>
      </xdr:txBody>
    </xdr:sp>
    <xdr:clientData/>
  </xdr:twoCellAnchor>
  <xdr:twoCellAnchor>
    <xdr:from>
      <xdr:col>14</xdr:col>
      <xdr:colOff>93639</xdr:colOff>
      <xdr:row>111</xdr:row>
      <xdr:rowOff>18484</xdr:rowOff>
    </xdr:from>
    <xdr:to>
      <xdr:col>16</xdr:col>
      <xdr:colOff>336176</xdr:colOff>
      <xdr:row>113</xdr:row>
      <xdr:rowOff>94684</xdr:rowOff>
    </xdr:to>
    <xdr:sp macro="" textlink="">
      <xdr:nvSpPr>
        <xdr:cNvPr id="158" name="Rectangle 157"/>
        <xdr:cNvSpPr/>
      </xdr:nvSpPr>
      <xdr:spPr>
        <a:xfrm>
          <a:off x="10840080" y="21163984"/>
          <a:ext cx="959714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Depucker</a:t>
          </a:r>
        </a:p>
      </xdr:txBody>
    </xdr:sp>
    <xdr:clientData/>
  </xdr:twoCellAnchor>
  <xdr:twoCellAnchor>
    <xdr:from>
      <xdr:col>3</xdr:col>
      <xdr:colOff>1008530</xdr:colOff>
      <xdr:row>77</xdr:row>
      <xdr:rowOff>112059</xdr:rowOff>
    </xdr:from>
    <xdr:to>
      <xdr:col>4</xdr:col>
      <xdr:colOff>750794</xdr:colOff>
      <xdr:row>92</xdr:row>
      <xdr:rowOff>71157</xdr:rowOff>
    </xdr:to>
    <xdr:cxnSp macro="">
      <xdr:nvCxnSpPr>
        <xdr:cNvPr id="7" name="Straight Arrow Connector 6"/>
        <xdr:cNvCxnSpPr>
          <a:stCxn id="43" idx="3"/>
        </xdr:cNvCxnSpPr>
      </xdr:nvCxnSpPr>
      <xdr:spPr>
        <a:xfrm flipV="1">
          <a:off x="4459942" y="14780559"/>
          <a:ext cx="784411" cy="281659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1008530</xdr:colOff>
      <xdr:row>92</xdr:row>
      <xdr:rowOff>71157</xdr:rowOff>
    </xdr:from>
    <xdr:to>
      <xdr:col>4</xdr:col>
      <xdr:colOff>762000</xdr:colOff>
      <xdr:row>116</xdr:row>
      <xdr:rowOff>179294</xdr:rowOff>
    </xdr:to>
    <xdr:cxnSp macro="">
      <xdr:nvCxnSpPr>
        <xdr:cNvPr id="9" name="Straight Arrow Connector 8"/>
        <xdr:cNvCxnSpPr>
          <a:stCxn id="43" idx="3"/>
        </xdr:cNvCxnSpPr>
      </xdr:nvCxnSpPr>
      <xdr:spPr>
        <a:xfrm>
          <a:off x="4459942" y="17597157"/>
          <a:ext cx="795617" cy="468013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17929</xdr:colOff>
      <xdr:row>92</xdr:row>
      <xdr:rowOff>100853</xdr:rowOff>
    </xdr:from>
    <xdr:to>
      <xdr:col>4</xdr:col>
      <xdr:colOff>638735</xdr:colOff>
      <xdr:row>107</xdr:row>
      <xdr:rowOff>64713</xdr:rowOff>
    </xdr:to>
    <xdr:cxnSp macro="">
      <xdr:nvCxnSpPr>
        <xdr:cNvPr id="11" name="Straight Arrow Connector 10"/>
        <xdr:cNvCxnSpPr>
          <a:stCxn id="66" idx="3"/>
        </xdr:cNvCxnSpPr>
      </xdr:nvCxnSpPr>
      <xdr:spPr>
        <a:xfrm flipV="1">
          <a:off x="4511488" y="17626853"/>
          <a:ext cx="620806" cy="28213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17929</xdr:colOff>
      <xdr:row>107</xdr:row>
      <xdr:rowOff>64713</xdr:rowOff>
    </xdr:from>
    <xdr:to>
      <xdr:col>4</xdr:col>
      <xdr:colOff>750794</xdr:colOff>
      <xdr:row>130</xdr:row>
      <xdr:rowOff>156882</xdr:rowOff>
    </xdr:to>
    <xdr:cxnSp macro="">
      <xdr:nvCxnSpPr>
        <xdr:cNvPr id="16" name="Straight Arrow Connector 15"/>
        <xdr:cNvCxnSpPr>
          <a:stCxn id="66" idx="3"/>
        </xdr:cNvCxnSpPr>
      </xdr:nvCxnSpPr>
      <xdr:spPr>
        <a:xfrm>
          <a:off x="4511488" y="20448213"/>
          <a:ext cx="732865" cy="44736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571219</xdr:colOff>
      <xdr:row>92</xdr:row>
      <xdr:rowOff>71157</xdr:rowOff>
    </xdr:from>
    <xdr:to>
      <xdr:col>2</xdr:col>
      <xdr:colOff>78303</xdr:colOff>
      <xdr:row>98</xdr:row>
      <xdr:rowOff>129147</xdr:rowOff>
    </xdr:to>
    <xdr:cxnSp macro="">
      <xdr:nvCxnSpPr>
        <xdr:cNvPr id="162" name="Straight Arrow Connector 161"/>
        <xdr:cNvCxnSpPr>
          <a:stCxn id="36" idx="7"/>
          <a:endCxn id="2" idx="1"/>
        </xdr:cNvCxnSpPr>
      </xdr:nvCxnSpPr>
      <xdr:spPr>
        <a:xfrm flipV="1">
          <a:off x="1658190" y="17597157"/>
          <a:ext cx="717319" cy="120099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571219</xdr:colOff>
      <xdr:row>100</xdr:row>
      <xdr:rowOff>71437</xdr:rowOff>
    </xdr:from>
    <xdr:to>
      <xdr:col>2</xdr:col>
      <xdr:colOff>58550</xdr:colOff>
      <xdr:row>107</xdr:row>
      <xdr:rowOff>64713</xdr:rowOff>
    </xdr:to>
    <xdr:cxnSp macro="">
      <xdr:nvCxnSpPr>
        <xdr:cNvPr id="164" name="Straight Arrow Connector 163"/>
        <xdr:cNvCxnSpPr>
          <a:stCxn id="36" idx="5"/>
          <a:endCxn id="3" idx="1"/>
        </xdr:cNvCxnSpPr>
      </xdr:nvCxnSpPr>
      <xdr:spPr>
        <a:xfrm>
          <a:off x="1658190" y="19121437"/>
          <a:ext cx="697566" cy="13267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992703</xdr:colOff>
      <xdr:row>92</xdr:row>
      <xdr:rowOff>71157</xdr:rowOff>
    </xdr:from>
    <xdr:to>
      <xdr:col>3</xdr:col>
      <xdr:colOff>28084</xdr:colOff>
      <xdr:row>92</xdr:row>
      <xdr:rowOff>71157</xdr:rowOff>
    </xdr:to>
    <xdr:cxnSp macro="">
      <xdr:nvCxnSpPr>
        <xdr:cNvPr id="166" name="Straight Arrow Connector 165"/>
        <xdr:cNvCxnSpPr>
          <a:stCxn id="2" idx="3"/>
          <a:endCxn id="43" idx="1"/>
        </xdr:cNvCxnSpPr>
      </xdr:nvCxnSpPr>
      <xdr:spPr>
        <a:xfrm>
          <a:off x="3289909" y="17597157"/>
          <a:ext cx="18958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972950</xdr:colOff>
      <xdr:row>107</xdr:row>
      <xdr:rowOff>64713</xdr:rowOff>
    </xdr:from>
    <xdr:to>
      <xdr:col>3</xdr:col>
      <xdr:colOff>79630</xdr:colOff>
      <xdr:row>107</xdr:row>
      <xdr:rowOff>64713</xdr:rowOff>
    </xdr:to>
    <xdr:cxnSp macro="">
      <xdr:nvCxnSpPr>
        <xdr:cNvPr id="168" name="Straight Arrow Connector 167"/>
        <xdr:cNvCxnSpPr>
          <a:stCxn id="3" idx="3"/>
          <a:endCxn id="66" idx="1"/>
        </xdr:cNvCxnSpPr>
      </xdr:nvCxnSpPr>
      <xdr:spPr>
        <a:xfrm>
          <a:off x="3270156" y="20448213"/>
          <a:ext cx="260886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44825</xdr:colOff>
      <xdr:row>77</xdr:row>
      <xdr:rowOff>67235</xdr:rowOff>
    </xdr:from>
    <xdr:to>
      <xdr:col>10</xdr:col>
      <xdr:colOff>432058</xdr:colOff>
      <xdr:row>84</xdr:row>
      <xdr:rowOff>47063</xdr:rowOff>
    </xdr:to>
    <xdr:cxnSp macro="">
      <xdr:nvCxnSpPr>
        <xdr:cNvPr id="170" name="Straight Arrow Connector 169"/>
        <xdr:cNvCxnSpPr>
          <a:endCxn id="53" idx="1"/>
        </xdr:cNvCxnSpPr>
      </xdr:nvCxnSpPr>
      <xdr:spPr>
        <a:xfrm>
          <a:off x="7070913" y="14735735"/>
          <a:ext cx="835469" cy="131332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22413</xdr:colOff>
      <xdr:row>84</xdr:row>
      <xdr:rowOff>47063</xdr:rowOff>
    </xdr:from>
    <xdr:to>
      <xdr:col>10</xdr:col>
      <xdr:colOff>432058</xdr:colOff>
      <xdr:row>94</xdr:row>
      <xdr:rowOff>67235</xdr:rowOff>
    </xdr:to>
    <xdr:cxnSp macro="">
      <xdr:nvCxnSpPr>
        <xdr:cNvPr id="172" name="Straight Arrow Connector 171"/>
        <xdr:cNvCxnSpPr>
          <a:endCxn id="53" idx="1"/>
        </xdr:cNvCxnSpPr>
      </xdr:nvCxnSpPr>
      <xdr:spPr>
        <a:xfrm flipV="1">
          <a:off x="7048501" y="16049063"/>
          <a:ext cx="857881" cy="19251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44824</xdr:colOff>
      <xdr:row>95</xdr:row>
      <xdr:rowOff>134471</xdr:rowOff>
    </xdr:from>
    <xdr:to>
      <xdr:col>11</xdr:col>
      <xdr:colOff>12957</xdr:colOff>
      <xdr:row>103</xdr:row>
      <xdr:rowOff>98610</xdr:rowOff>
    </xdr:to>
    <xdr:cxnSp macro="">
      <xdr:nvCxnSpPr>
        <xdr:cNvPr id="174" name="Straight Arrow Connector 173"/>
        <xdr:cNvCxnSpPr>
          <a:endCxn id="157" idx="1"/>
        </xdr:cNvCxnSpPr>
      </xdr:nvCxnSpPr>
      <xdr:spPr>
        <a:xfrm>
          <a:off x="7070912" y="18231971"/>
          <a:ext cx="864604" cy="148813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56030</xdr:colOff>
      <xdr:row>103</xdr:row>
      <xdr:rowOff>98610</xdr:rowOff>
    </xdr:from>
    <xdr:to>
      <xdr:col>11</xdr:col>
      <xdr:colOff>12957</xdr:colOff>
      <xdr:row>112</xdr:row>
      <xdr:rowOff>67236</xdr:rowOff>
    </xdr:to>
    <xdr:cxnSp macro="">
      <xdr:nvCxnSpPr>
        <xdr:cNvPr id="176" name="Straight Arrow Connector 175"/>
        <xdr:cNvCxnSpPr>
          <a:endCxn id="157" idx="1"/>
        </xdr:cNvCxnSpPr>
      </xdr:nvCxnSpPr>
      <xdr:spPr>
        <a:xfrm flipV="1">
          <a:off x="7082118" y="19720110"/>
          <a:ext cx="853398" cy="16831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78441</xdr:colOff>
      <xdr:row>113</xdr:row>
      <xdr:rowOff>134471</xdr:rowOff>
    </xdr:from>
    <xdr:to>
      <xdr:col>10</xdr:col>
      <xdr:colOff>429816</xdr:colOff>
      <xdr:row>121</xdr:row>
      <xdr:rowOff>95249</xdr:rowOff>
    </xdr:to>
    <xdr:cxnSp macro="">
      <xdr:nvCxnSpPr>
        <xdr:cNvPr id="178" name="Straight Arrow Connector 177"/>
        <xdr:cNvCxnSpPr>
          <a:endCxn id="55" idx="1"/>
        </xdr:cNvCxnSpPr>
      </xdr:nvCxnSpPr>
      <xdr:spPr>
        <a:xfrm>
          <a:off x="7104529" y="21660971"/>
          <a:ext cx="799611" cy="148477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33618</xdr:colOff>
      <xdr:row>121</xdr:row>
      <xdr:rowOff>95249</xdr:rowOff>
    </xdr:from>
    <xdr:to>
      <xdr:col>10</xdr:col>
      <xdr:colOff>429816</xdr:colOff>
      <xdr:row>130</xdr:row>
      <xdr:rowOff>134471</xdr:rowOff>
    </xdr:to>
    <xdr:cxnSp macro="">
      <xdr:nvCxnSpPr>
        <xdr:cNvPr id="180" name="Straight Arrow Connector 179"/>
        <xdr:cNvCxnSpPr>
          <a:endCxn id="55" idx="1"/>
        </xdr:cNvCxnSpPr>
      </xdr:nvCxnSpPr>
      <xdr:spPr>
        <a:xfrm flipV="1">
          <a:off x="7059706" y="23145749"/>
          <a:ext cx="844434" cy="17537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1322295</xdr:colOff>
      <xdr:row>95</xdr:row>
      <xdr:rowOff>16242</xdr:rowOff>
    </xdr:from>
    <xdr:to>
      <xdr:col>14</xdr:col>
      <xdr:colOff>93638</xdr:colOff>
      <xdr:row>103</xdr:row>
      <xdr:rowOff>98610</xdr:rowOff>
    </xdr:to>
    <xdr:cxnSp macro="">
      <xdr:nvCxnSpPr>
        <xdr:cNvPr id="182" name="Straight Arrow Connector 181"/>
        <xdr:cNvCxnSpPr>
          <a:stCxn id="157" idx="3"/>
          <a:endCxn id="30" idx="1"/>
        </xdr:cNvCxnSpPr>
      </xdr:nvCxnSpPr>
      <xdr:spPr>
        <a:xfrm flipV="1">
          <a:off x="9244854" y="18113742"/>
          <a:ext cx="1595225" cy="16063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1322295</xdr:colOff>
      <xdr:row>103</xdr:row>
      <xdr:rowOff>98045</xdr:rowOff>
    </xdr:from>
    <xdr:to>
      <xdr:col>14</xdr:col>
      <xdr:colOff>93639</xdr:colOff>
      <xdr:row>103</xdr:row>
      <xdr:rowOff>98610</xdr:rowOff>
    </xdr:to>
    <xdr:cxnSp macro="">
      <xdr:nvCxnSpPr>
        <xdr:cNvPr id="184" name="Straight Arrow Connector 183"/>
        <xdr:cNvCxnSpPr>
          <a:stCxn id="157" idx="3"/>
          <a:endCxn id="33" idx="1"/>
        </xdr:cNvCxnSpPr>
      </xdr:nvCxnSpPr>
      <xdr:spPr>
        <a:xfrm flipV="1">
          <a:off x="9244854" y="19719545"/>
          <a:ext cx="1595226" cy="56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1322295</xdr:colOff>
      <xdr:row>103</xdr:row>
      <xdr:rowOff>98610</xdr:rowOff>
    </xdr:from>
    <xdr:to>
      <xdr:col>14</xdr:col>
      <xdr:colOff>93639</xdr:colOff>
      <xdr:row>112</xdr:row>
      <xdr:rowOff>56584</xdr:rowOff>
    </xdr:to>
    <xdr:cxnSp macro="">
      <xdr:nvCxnSpPr>
        <xdr:cNvPr id="186" name="Straight Arrow Connector 185"/>
        <xdr:cNvCxnSpPr>
          <a:stCxn id="157" idx="3"/>
          <a:endCxn id="158" idx="1"/>
        </xdr:cNvCxnSpPr>
      </xdr:nvCxnSpPr>
      <xdr:spPr>
        <a:xfrm>
          <a:off x="9244854" y="19720110"/>
          <a:ext cx="1595226" cy="16724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95</xdr:row>
      <xdr:rowOff>16242</xdr:rowOff>
    </xdr:from>
    <xdr:to>
      <xdr:col>14</xdr:col>
      <xdr:colOff>93638</xdr:colOff>
      <xdr:row>121</xdr:row>
      <xdr:rowOff>95249</xdr:rowOff>
    </xdr:to>
    <xdr:cxnSp macro="">
      <xdr:nvCxnSpPr>
        <xdr:cNvPr id="188" name="Straight Arrow Connector 187"/>
        <xdr:cNvCxnSpPr>
          <a:stCxn id="55" idx="3"/>
          <a:endCxn id="30" idx="1"/>
        </xdr:cNvCxnSpPr>
      </xdr:nvCxnSpPr>
      <xdr:spPr>
        <a:xfrm flipV="1">
          <a:off x="9256059" y="18113742"/>
          <a:ext cx="1584020" cy="50320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103</xdr:row>
      <xdr:rowOff>98045</xdr:rowOff>
    </xdr:from>
    <xdr:to>
      <xdr:col>14</xdr:col>
      <xdr:colOff>93639</xdr:colOff>
      <xdr:row>121</xdr:row>
      <xdr:rowOff>95249</xdr:rowOff>
    </xdr:to>
    <xdr:cxnSp macro="">
      <xdr:nvCxnSpPr>
        <xdr:cNvPr id="190" name="Straight Arrow Connector 189"/>
        <xdr:cNvCxnSpPr>
          <a:stCxn id="55" idx="3"/>
          <a:endCxn id="33" idx="1"/>
        </xdr:cNvCxnSpPr>
      </xdr:nvCxnSpPr>
      <xdr:spPr>
        <a:xfrm flipV="1">
          <a:off x="9256059" y="19719545"/>
          <a:ext cx="1584021" cy="342620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112</xdr:row>
      <xdr:rowOff>56584</xdr:rowOff>
    </xdr:from>
    <xdr:to>
      <xdr:col>14</xdr:col>
      <xdr:colOff>93639</xdr:colOff>
      <xdr:row>121</xdr:row>
      <xdr:rowOff>95249</xdr:rowOff>
    </xdr:to>
    <xdr:cxnSp macro="">
      <xdr:nvCxnSpPr>
        <xdr:cNvPr id="192" name="Straight Arrow Connector 191"/>
        <xdr:cNvCxnSpPr>
          <a:stCxn id="55" idx="3"/>
          <a:endCxn id="158" idx="1"/>
        </xdr:cNvCxnSpPr>
      </xdr:nvCxnSpPr>
      <xdr:spPr>
        <a:xfrm flipV="1">
          <a:off x="9256059" y="21392584"/>
          <a:ext cx="1584021" cy="175316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257734</xdr:colOff>
      <xdr:row>95</xdr:row>
      <xdr:rowOff>11206</xdr:rowOff>
    </xdr:from>
    <xdr:to>
      <xdr:col>19</xdr:col>
      <xdr:colOff>0</xdr:colOff>
      <xdr:row>95</xdr:row>
      <xdr:rowOff>16242</xdr:rowOff>
    </xdr:to>
    <xdr:cxnSp macro="">
      <xdr:nvCxnSpPr>
        <xdr:cNvPr id="194" name="Straight Arrow Connector 193"/>
        <xdr:cNvCxnSpPr>
          <a:stCxn id="30" idx="3"/>
        </xdr:cNvCxnSpPr>
      </xdr:nvCxnSpPr>
      <xdr:spPr>
        <a:xfrm flipV="1">
          <a:off x="11721352" y="18108706"/>
          <a:ext cx="818030" cy="503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313764</xdr:colOff>
      <xdr:row>103</xdr:row>
      <xdr:rowOff>98045</xdr:rowOff>
    </xdr:from>
    <xdr:to>
      <xdr:col>18</xdr:col>
      <xdr:colOff>347382</xdr:colOff>
      <xdr:row>103</xdr:row>
      <xdr:rowOff>98045</xdr:rowOff>
    </xdr:to>
    <xdr:cxnSp macro="">
      <xdr:nvCxnSpPr>
        <xdr:cNvPr id="200" name="Straight Arrow Connector 199"/>
        <xdr:cNvCxnSpPr>
          <a:stCxn id="33" idx="3"/>
        </xdr:cNvCxnSpPr>
      </xdr:nvCxnSpPr>
      <xdr:spPr>
        <a:xfrm>
          <a:off x="11777382" y="19719545"/>
          <a:ext cx="75079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336176</xdr:colOff>
      <xdr:row>112</xdr:row>
      <xdr:rowOff>56584</xdr:rowOff>
    </xdr:from>
    <xdr:to>
      <xdr:col>18</xdr:col>
      <xdr:colOff>324971</xdr:colOff>
      <xdr:row>112</xdr:row>
      <xdr:rowOff>67236</xdr:rowOff>
    </xdr:to>
    <xdr:cxnSp macro="">
      <xdr:nvCxnSpPr>
        <xdr:cNvPr id="202" name="Straight Arrow Connector 201"/>
        <xdr:cNvCxnSpPr>
          <a:stCxn id="158" idx="3"/>
        </xdr:cNvCxnSpPr>
      </xdr:nvCxnSpPr>
      <xdr:spPr>
        <a:xfrm>
          <a:off x="11799794" y="21392584"/>
          <a:ext cx="705971" cy="1065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22413</xdr:colOff>
      <xdr:row>84</xdr:row>
      <xdr:rowOff>47063</xdr:rowOff>
    </xdr:from>
    <xdr:to>
      <xdr:col>14</xdr:col>
      <xdr:colOff>93639</xdr:colOff>
      <xdr:row>112</xdr:row>
      <xdr:rowOff>56584</xdr:rowOff>
    </xdr:to>
    <xdr:cxnSp macro="">
      <xdr:nvCxnSpPr>
        <xdr:cNvPr id="205" name="Straight Arrow Connector 204"/>
        <xdr:cNvCxnSpPr>
          <a:stCxn id="53" idx="3"/>
          <a:endCxn id="158" idx="1"/>
        </xdr:cNvCxnSpPr>
      </xdr:nvCxnSpPr>
      <xdr:spPr>
        <a:xfrm>
          <a:off x="9278472" y="16049063"/>
          <a:ext cx="1561608" cy="53435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22413</xdr:colOff>
      <xdr:row>84</xdr:row>
      <xdr:rowOff>47063</xdr:rowOff>
    </xdr:from>
    <xdr:to>
      <xdr:col>14</xdr:col>
      <xdr:colOff>93639</xdr:colOff>
      <xdr:row>103</xdr:row>
      <xdr:rowOff>98045</xdr:rowOff>
    </xdr:to>
    <xdr:cxnSp macro="">
      <xdr:nvCxnSpPr>
        <xdr:cNvPr id="207" name="Straight Arrow Connector 206"/>
        <xdr:cNvCxnSpPr>
          <a:stCxn id="53" idx="3"/>
          <a:endCxn id="33" idx="1"/>
        </xdr:cNvCxnSpPr>
      </xdr:nvCxnSpPr>
      <xdr:spPr>
        <a:xfrm>
          <a:off x="9278472" y="16049063"/>
          <a:ext cx="1561608" cy="36704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22413</xdr:colOff>
      <xdr:row>84</xdr:row>
      <xdr:rowOff>47063</xdr:rowOff>
    </xdr:from>
    <xdr:to>
      <xdr:col>14</xdr:col>
      <xdr:colOff>93638</xdr:colOff>
      <xdr:row>95</xdr:row>
      <xdr:rowOff>16242</xdr:rowOff>
    </xdr:to>
    <xdr:cxnSp macro="">
      <xdr:nvCxnSpPr>
        <xdr:cNvPr id="209" name="Straight Arrow Connector 208"/>
        <xdr:cNvCxnSpPr>
          <a:stCxn id="53" idx="3"/>
          <a:endCxn id="30" idx="1"/>
        </xdr:cNvCxnSpPr>
      </xdr:nvCxnSpPr>
      <xdr:spPr>
        <a:xfrm>
          <a:off x="9278472" y="16049063"/>
          <a:ext cx="1561607" cy="206467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179294</xdr:colOff>
      <xdr:row>99</xdr:row>
      <xdr:rowOff>100292</xdr:rowOff>
    </xdr:from>
    <xdr:to>
      <xdr:col>1</xdr:col>
      <xdr:colOff>180974</xdr:colOff>
      <xdr:row>99</xdr:row>
      <xdr:rowOff>100853</xdr:rowOff>
    </xdr:to>
    <xdr:cxnSp macro="">
      <xdr:nvCxnSpPr>
        <xdr:cNvPr id="211" name="Straight Arrow Connector 210"/>
        <xdr:cNvCxnSpPr>
          <a:endCxn id="36" idx="2"/>
        </xdr:cNvCxnSpPr>
      </xdr:nvCxnSpPr>
      <xdr:spPr>
        <a:xfrm flipV="1">
          <a:off x="179294" y="18959792"/>
          <a:ext cx="1088651" cy="56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104775</xdr:colOff>
      <xdr:row>15</xdr:row>
      <xdr:rowOff>9524</xdr:rowOff>
    </xdr:from>
    <xdr:to>
      <xdr:col>19</xdr:col>
      <xdr:colOff>0</xdr:colOff>
      <xdr:row>23</xdr:row>
      <xdr:rowOff>147637</xdr:rowOff>
    </xdr:to>
    <xdr:grpSp>
      <xdr:nvGrpSpPr>
        <xdr:cNvPr id="19" name="Group 18"/>
        <xdr:cNvGrpSpPr/>
      </xdr:nvGrpSpPr>
      <xdr:grpSpPr>
        <a:xfrm>
          <a:off x="10186035" y="2756534"/>
          <a:ext cx="5400675" cy="1601153"/>
          <a:chOff x="5705475" y="2867024"/>
          <a:chExt cx="4981575" cy="1662113"/>
        </a:xfrm>
      </xdr:grpSpPr>
      <xdr:cxnSp macro="">
        <xdr:nvCxnSpPr>
          <xdr:cNvPr id="40" name="Elbow Connector 39"/>
          <xdr:cNvCxnSpPr>
            <a:stCxn id="6" idx="2"/>
            <a:endCxn id="7" idx="1"/>
          </xdr:cNvCxnSpPr>
        </xdr:nvCxnSpPr>
        <xdr:spPr>
          <a:xfrm rot="16200000" flipH="1">
            <a:off x="8039100" y="3328986"/>
            <a:ext cx="1062038" cy="938213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8" name="Group 17"/>
          <xdr:cNvGrpSpPr/>
        </xdr:nvGrpSpPr>
        <xdr:grpSpPr>
          <a:xfrm>
            <a:off x="5705475" y="2867024"/>
            <a:ext cx="4981575" cy="1662113"/>
            <a:chOff x="9848850" y="1142999"/>
            <a:chExt cx="4981575" cy="1662113"/>
          </a:xfrm>
        </xdr:grpSpPr>
        <xdr:sp macro="" textlink="">
          <xdr:nvSpPr>
            <xdr:cNvPr id="5" name="Rectangle 4"/>
            <xdr:cNvSpPr/>
          </xdr:nvSpPr>
          <xdr:spPr>
            <a:xfrm>
              <a:off x="10722770" y="1142999"/>
              <a:ext cx="602456" cy="40005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/>
                <a:t>Labeler</a:t>
              </a:r>
            </a:p>
          </xdr:txBody>
        </xdr:sp>
        <xdr:sp macro="" textlink="">
          <xdr:nvSpPr>
            <xdr:cNvPr id="6" name="Rectangle 5"/>
            <xdr:cNvSpPr/>
          </xdr:nvSpPr>
          <xdr:spPr>
            <a:xfrm>
              <a:off x="11944350" y="1142999"/>
              <a:ext cx="600075" cy="40005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/>
                <a:t>Spur</a:t>
              </a:r>
            </a:p>
          </xdr:txBody>
        </xdr:sp>
        <xdr:sp macro="" textlink="">
          <xdr:nvSpPr>
            <xdr:cNvPr id="7" name="Rectangle 6"/>
            <xdr:cNvSpPr/>
          </xdr:nvSpPr>
          <xdr:spPr>
            <a:xfrm>
              <a:off x="13182601" y="2405062"/>
              <a:ext cx="1114424" cy="40005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/>
                <a:t>Depucker</a:t>
              </a:r>
            </a:p>
          </xdr:txBody>
        </xdr:sp>
        <xdr:sp macro="" textlink="">
          <xdr:nvSpPr>
            <xdr:cNvPr id="8" name="Rectangle 7"/>
            <xdr:cNvSpPr/>
          </xdr:nvSpPr>
          <xdr:spPr>
            <a:xfrm>
              <a:off x="13154025" y="1142999"/>
              <a:ext cx="1143000" cy="40005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/>
                <a:t>Bagger</a:t>
              </a:r>
            </a:p>
          </xdr:txBody>
        </xdr:sp>
        <xdr:cxnSp macro="">
          <xdr:nvCxnSpPr>
            <xdr:cNvPr id="10" name="Straight Arrow Connector 9"/>
            <xdr:cNvCxnSpPr>
              <a:endCxn id="5" idx="1"/>
            </xdr:cNvCxnSpPr>
          </xdr:nvCxnSpPr>
          <xdr:spPr>
            <a:xfrm>
              <a:off x="9848850" y="1333500"/>
              <a:ext cx="873920" cy="9524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" name="Straight Arrow Connector 11"/>
            <xdr:cNvCxnSpPr>
              <a:stCxn id="5" idx="3"/>
              <a:endCxn id="6" idx="1"/>
            </xdr:cNvCxnSpPr>
          </xdr:nvCxnSpPr>
          <xdr:spPr>
            <a:xfrm>
              <a:off x="11325226" y="1343024"/>
              <a:ext cx="619124" cy="0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" name="Straight Arrow Connector 15"/>
            <xdr:cNvCxnSpPr>
              <a:stCxn id="7" idx="3"/>
            </xdr:cNvCxnSpPr>
          </xdr:nvCxnSpPr>
          <xdr:spPr>
            <a:xfrm>
              <a:off x="14297025" y="2605087"/>
              <a:ext cx="533400" cy="0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" name="Straight Arrow Connector 41"/>
            <xdr:cNvCxnSpPr>
              <a:stCxn id="6" idx="3"/>
              <a:endCxn id="8" idx="1"/>
            </xdr:cNvCxnSpPr>
          </xdr:nvCxnSpPr>
          <xdr:spPr>
            <a:xfrm>
              <a:off x="12544425" y="1343024"/>
              <a:ext cx="609600" cy="0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" name="Straight Arrow Connector 44"/>
            <xdr:cNvCxnSpPr>
              <a:stCxn id="8" idx="3"/>
            </xdr:cNvCxnSpPr>
          </xdr:nvCxnSpPr>
          <xdr:spPr>
            <a:xfrm>
              <a:off x="14297025" y="1343024"/>
              <a:ext cx="485775" cy="0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8</xdr:col>
      <xdr:colOff>133349</xdr:colOff>
      <xdr:row>0</xdr:row>
      <xdr:rowOff>47625</xdr:rowOff>
    </xdr:from>
    <xdr:to>
      <xdr:col>10</xdr:col>
      <xdr:colOff>447674</xdr:colOff>
      <xdr:row>2</xdr:row>
      <xdr:rowOff>142875</xdr:rowOff>
    </xdr:to>
    <xdr:sp macro="[0]!pi0" textlink="">
      <xdr:nvSpPr>
        <xdr:cNvPr id="48" name="Rectangle 47"/>
        <xdr:cNvSpPr/>
      </xdr:nvSpPr>
      <xdr:spPr>
        <a:xfrm>
          <a:off x="6705599" y="47625"/>
          <a:ext cx="12096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(3)</a:t>
          </a:r>
          <a:r>
            <a:rPr lang="en-US" sz="1100" baseline="0"/>
            <a:t> Compute Values (PRESS)</a:t>
          </a:r>
        </a:p>
      </xdr:txBody>
    </xdr:sp>
    <xdr:clientData/>
  </xdr:twoCellAnchor>
  <xdr:twoCellAnchor>
    <xdr:from>
      <xdr:col>3</xdr:col>
      <xdr:colOff>219074</xdr:colOff>
      <xdr:row>0</xdr:row>
      <xdr:rowOff>38100</xdr:rowOff>
    </xdr:from>
    <xdr:to>
      <xdr:col>4</xdr:col>
      <xdr:colOff>495300</xdr:colOff>
      <xdr:row>2</xdr:row>
      <xdr:rowOff>114300</xdr:rowOff>
    </xdr:to>
    <xdr:sp macro="" textlink="">
      <xdr:nvSpPr>
        <xdr:cNvPr id="50" name="Rectangle 49"/>
        <xdr:cNvSpPr/>
      </xdr:nvSpPr>
      <xdr:spPr>
        <a:xfrm>
          <a:off x="3667124" y="38100"/>
          <a:ext cx="1314451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(1) Set Parameters (GREEN)</a:t>
          </a:r>
        </a:p>
      </xdr:txBody>
    </xdr:sp>
    <xdr:clientData/>
  </xdr:twoCellAnchor>
  <xdr:twoCellAnchor>
    <xdr:from>
      <xdr:col>4</xdr:col>
      <xdr:colOff>666750</xdr:colOff>
      <xdr:row>0</xdr:row>
      <xdr:rowOff>52388</xdr:rowOff>
    </xdr:from>
    <xdr:to>
      <xdr:col>7</xdr:col>
      <xdr:colOff>390525</xdr:colOff>
      <xdr:row>2</xdr:row>
      <xdr:rowOff>104776</xdr:rowOff>
    </xdr:to>
    <xdr:sp macro="" textlink="">
      <xdr:nvSpPr>
        <xdr:cNvPr id="51" name="Rectangle 50"/>
        <xdr:cNvSpPr/>
      </xdr:nvSpPr>
      <xdr:spPr>
        <a:xfrm>
          <a:off x="5153025" y="52388"/>
          <a:ext cx="1314450" cy="43338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(2) Set values for</a:t>
          </a:r>
          <a:r>
            <a:rPr lang="en-US" sz="1100" baseline="0"/>
            <a:t> transition matrix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8</xdr:row>
      <xdr:rowOff>161926</xdr:rowOff>
    </xdr:from>
    <xdr:to>
      <xdr:col>7</xdr:col>
      <xdr:colOff>85725</xdr:colOff>
      <xdr:row>21</xdr:row>
      <xdr:rowOff>9526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219075</xdr:colOff>
      <xdr:row>0</xdr:row>
      <xdr:rowOff>95249</xdr:rowOff>
    </xdr:from>
    <xdr:to>
      <xdr:col>31</xdr:col>
      <xdr:colOff>361949</xdr:colOff>
      <xdr:row>20</xdr:row>
      <xdr:rowOff>47624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16</xdr:row>
      <xdr:rowOff>0</xdr:rowOff>
    </xdr:from>
    <xdr:to>
      <xdr:col>39</xdr:col>
      <xdr:colOff>114299</xdr:colOff>
      <xdr:row>29</xdr:row>
      <xdr:rowOff>147638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31</xdr:row>
      <xdr:rowOff>0</xdr:rowOff>
    </xdr:from>
    <xdr:to>
      <xdr:col>39</xdr:col>
      <xdr:colOff>114299</xdr:colOff>
      <xdr:row>44</xdr:row>
      <xdr:rowOff>147638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0</xdr:colOff>
      <xdr:row>45</xdr:row>
      <xdr:rowOff>0</xdr:rowOff>
    </xdr:from>
    <xdr:to>
      <xdr:col>39</xdr:col>
      <xdr:colOff>114299</xdr:colOff>
      <xdr:row>58</xdr:row>
      <xdr:rowOff>147638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0</xdr:colOff>
      <xdr:row>60</xdr:row>
      <xdr:rowOff>0</xdr:rowOff>
    </xdr:from>
    <xdr:to>
      <xdr:col>39</xdr:col>
      <xdr:colOff>114299</xdr:colOff>
      <xdr:row>73</xdr:row>
      <xdr:rowOff>147638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390526</xdr:colOff>
      <xdr:row>30</xdr:row>
      <xdr:rowOff>123825</xdr:rowOff>
    </xdr:from>
    <xdr:to>
      <xdr:col>9</xdr:col>
      <xdr:colOff>333376</xdr:colOff>
      <xdr:row>42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314326</xdr:colOff>
      <xdr:row>43</xdr:row>
      <xdr:rowOff>152400</xdr:rowOff>
    </xdr:from>
    <xdr:to>
      <xdr:col>10</xdr:col>
      <xdr:colOff>85726</xdr:colOff>
      <xdr:row>56</xdr:row>
      <xdr:rowOff>180974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523875</xdr:colOff>
      <xdr:row>57</xdr:row>
      <xdr:rowOff>19049</xdr:rowOff>
    </xdr:from>
    <xdr:to>
      <xdr:col>9</xdr:col>
      <xdr:colOff>66675</xdr:colOff>
      <xdr:row>70</xdr:row>
      <xdr:rowOff>28574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72</xdr:row>
      <xdr:rowOff>142876</xdr:rowOff>
    </xdr:from>
    <xdr:to>
      <xdr:col>8</xdr:col>
      <xdr:colOff>190500</xdr:colOff>
      <xdr:row>85</xdr:row>
      <xdr:rowOff>19050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171449</xdr:colOff>
      <xdr:row>1</xdr:row>
      <xdr:rowOff>9525</xdr:rowOff>
    </xdr:from>
    <xdr:to>
      <xdr:col>15</xdr:col>
      <xdr:colOff>371475</xdr:colOff>
      <xdr:row>16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0</xdr:colOff>
      <xdr:row>18</xdr:row>
      <xdr:rowOff>0</xdr:rowOff>
    </xdr:from>
    <xdr:to>
      <xdr:col>21</xdr:col>
      <xdr:colOff>952501</xdr:colOff>
      <xdr:row>33</xdr:row>
      <xdr:rowOff>9525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Z132"/>
  <sheetViews>
    <sheetView topLeftCell="K1" zoomScale="40" zoomScaleNormal="40" workbookViewId="0">
      <selection activeCell="AV27" sqref="AV27"/>
    </sheetView>
  </sheetViews>
  <sheetFormatPr defaultRowHeight="14.4" x14ac:dyDescent="0.55000000000000004"/>
  <cols>
    <col min="1" max="1" width="16.26171875" style="11" bestFit="1" customWidth="1"/>
    <col min="2" max="2" width="18.15625" bestFit="1" customWidth="1"/>
    <col min="3" max="3" width="17.26171875" bestFit="1" customWidth="1"/>
    <col min="4" max="4" width="15.578125" bestFit="1" customWidth="1"/>
    <col min="5" max="5" width="11.68359375" bestFit="1" customWidth="1"/>
    <col min="6" max="6" width="5.68359375" bestFit="1" customWidth="1"/>
    <col min="7" max="7" width="6.41796875" customWidth="1"/>
    <col min="8" max="8" width="9.26171875" customWidth="1"/>
    <col min="9" max="9" width="8.26171875" customWidth="1"/>
    <col min="10" max="11" width="6.68359375" bestFit="1" customWidth="1"/>
    <col min="12" max="12" width="20" customWidth="1"/>
    <col min="13" max="13" width="17" style="11" customWidth="1"/>
    <col min="14" max="74" width="5.41796875" customWidth="1"/>
    <col min="75" max="75" width="8.89453125" customWidth="1"/>
    <col min="76" max="76" width="10.26171875" customWidth="1"/>
    <col min="77" max="77" width="13.20703125" customWidth="1"/>
    <col min="78" max="78" width="5.41796875" customWidth="1"/>
  </cols>
  <sheetData>
    <row r="1" spans="1:78" x14ac:dyDescent="0.55000000000000004">
      <c r="A1" s="44" t="s">
        <v>19</v>
      </c>
      <c r="B1" s="44"/>
      <c r="C1" s="44"/>
      <c r="D1" s="3"/>
      <c r="E1" s="3"/>
      <c r="F1" s="2"/>
      <c r="G1" s="2"/>
      <c r="H1" s="2"/>
      <c r="I1" s="2"/>
      <c r="J1" s="2"/>
      <c r="K1" s="2"/>
      <c r="M1" s="13" t="s">
        <v>20</v>
      </c>
      <c r="N1" s="3"/>
      <c r="O1" s="3"/>
      <c r="P1" s="3"/>
      <c r="Q1" s="3"/>
    </row>
    <row r="2" spans="1:78" s="2" customFormat="1" x14ac:dyDescent="0.55000000000000004">
      <c r="A2" s="10" t="s">
        <v>4</v>
      </c>
      <c r="B2" s="7">
        <v>0.78</v>
      </c>
      <c r="C2" s="5" t="s">
        <v>5</v>
      </c>
      <c r="M2" s="14" t="s">
        <v>139</v>
      </c>
      <c r="N2" s="4" t="s">
        <v>21</v>
      </c>
      <c r="O2" s="4" t="s">
        <v>79</v>
      </c>
      <c r="P2" s="4" t="s">
        <v>77</v>
      </c>
      <c r="Q2" s="4" t="s">
        <v>78</v>
      </c>
      <c r="R2" s="4" t="s">
        <v>22</v>
      </c>
      <c r="S2" s="4" t="s">
        <v>23</v>
      </c>
      <c r="T2" s="4" t="s">
        <v>24</v>
      </c>
      <c r="U2" s="4" t="s">
        <v>25</v>
      </c>
      <c r="V2" s="4" t="s">
        <v>26</v>
      </c>
      <c r="W2" s="4" t="s">
        <v>27</v>
      </c>
      <c r="X2" s="4" t="s">
        <v>28</v>
      </c>
      <c r="Y2" s="4" t="s">
        <v>29</v>
      </c>
      <c r="Z2" s="4" t="s">
        <v>30</v>
      </c>
      <c r="AA2" s="4" t="s">
        <v>31</v>
      </c>
      <c r="AB2" s="4" t="s">
        <v>32</v>
      </c>
      <c r="AC2" s="4" t="s">
        <v>33</v>
      </c>
      <c r="AD2" s="4" t="s">
        <v>34</v>
      </c>
      <c r="AE2" s="4" t="s">
        <v>35</v>
      </c>
      <c r="AF2" s="4" t="s">
        <v>36</v>
      </c>
      <c r="AG2" s="4" t="s">
        <v>37</v>
      </c>
      <c r="AH2" s="4" t="s">
        <v>38</v>
      </c>
      <c r="AI2" s="4" t="s">
        <v>39</v>
      </c>
      <c r="AJ2" s="4" t="s">
        <v>40</v>
      </c>
      <c r="AK2" s="4" t="s">
        <v>41</v>
      </c>
      <c r="AL2" s="4" t="s">
        <v>42</v>
      </c>
      <c r="AM2" s="4" t="s">
        <v>43</v>
      </c>
      <c r="AN2" s="4" t="s">
        <v>44</v>
      </c>
      <c r="AO2" s="4" t="s">
        <v>45</v>
      </c>
      <c r="AP2" s="4" t="s">
        <v>46</v>
      </c>
      <c r="AQ2" s="4" t="s">
        <v>47</v>
      </c>
      <c r="AR2" s="4" t="s">
        <v>48</v>
      </c>
      <c r="AS2" s="4" t="s">
        <v>49</v>
      </c>
      <c r="AT2" s="4" t="s">
        <v>50</v>
      </c>
      <c r="AU2" s="4" t="s">
        <v>51</v>
      </c>
      <c r="AV2" s="4" t="s">
        <v>52</v>
      </c>
      <c r="AW2" s="4" t="s">
        <v>53</v>
      </c>
      <c r="AX2" s="4" t="s">
        <v>54</v>
      </c>
      <c r="AY2" s="4" t="s">
        <v>55</v>
      </c>
      <c r="AZ2" s="4" t="s">
        <v>56</v>
      </c>
      <c r="BA2" s="4" t="s">
        <v>57</v>
      </c>
      <c r="BB2" s="4" t="s">
        <v>58</v>
      </c>
      <c r="BC2" s="4" t="s">
        <v>59</v>
      </c>
      <c r="BD2" s="4" t="s">
        <v>60</v>
      </c>
      <c r="BE2" s="4" t="s">
        <v>61</v>
      </c>
      <c r="BF2" s="4" t="s">
        <v>62</v>
      </c>
      <c r="BG2" s="4" t="s">
        <v>63</v>
      </c>
      <c r="BH2" s="4" t="s">
        <v>64</v>
      </c>
      <c r="BI2" s="4" t="s">
        <v>65</v>
      </c>
      <c r="BJ2" s="4" t="s">
        <v>66</v>
      </c>
      <c r="BK2" s="4" t="s">
        <v>67</v>
      </c>
      <c r="BL2" s="4" t="s">
        <v>68</v>
      </c>
      <c r="BM2" s="4" t="s">
        <v>69</v>
      </c>
      <c r="BN2" s="4" t="s">
        <v>70</v>
      </c>
      <c r="BO2" s="4" t="s">
        <v>71</v>
      </c>
      <c r="BP2" s="4" t="s">
        <v>72</v>
      </c>
      <c r="BQ2" s="4" t="s">
        <v>73</v>
      </c>
      <c r="BR2" s="4" t="s">
        <v>74</v>
      </c>
      <c r="BS2" s="4" t="s">
        <v>75</v>
      </c>
      <c r="BT2" s="4" t="s">
        <v>76</v>
      </c>
      <c r="BU2" s="4" t="s">
        <v>80</v>
      </c>
      <c r="BV2" s="4" t="s">
        <v>81</v>
      </c>
      <c r="BW2" s="4" t="s">
        <v>82</v>
      </c>
      <c r="BX2" s="4" t="s">
        <v>83</v>
      </c>
      <c r="BY2" s="4" t="s">
        <v>3</v>
      </c>
      <c r="BZ2" s="4" t="s">
        <v>11</v>
      </c>
    </row>
    <row r="3" spans="1:78" x14ac:dyDescent="0.55000000000000004">
      <c r="A3" s="10" t="s">
        <v>14</v>
      </c>
      <c r="B3" s="5">
        <f>1/B2</f>
        <v>1.2820512820512819</v>
      </c>
      <c r="C3" s="5" t="s">
        <v>138</v>
      </c>
      <c r="F3" s="2"/>
      <c r="G3" s="2"/>
      <c r="H3" s="2"/>
      <c r="I3" s="2"/>
      <c r="J3" s="2"/>
      <c r="K3" s="2"/>
      <c r="M3" s="4" t="s">
        <v>21</v>
      </c>
      <c r="N3" s="5"/>
      <c r="O3" s="5"/>
      <c r="P3" s="5">
        <v>1</v>
      </c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>
        <f t="shared" ref="BZ3:BZ34" si="0">1-(SUM(N3:BY3))</f>
        <v>0</v>
      </c>
    </row>
    <row r="4" spans="1:78" x14ac:dyDescent="0.55000000000000004">
      <c r="F4" s="2"/>
      <c r="G4" s="2"/>
      <c r="H4" s="2"/>
      <c r="I4" s="2"/>
      <c r="J4" s="2"/>
      <c r="K4" s="2"/>
      <c r="M4" s="4" t="s">
        <v>79</v>
      </c>
      <c r="N4" s="5"/>
      <c r="O4" s="5"/>
      <c r="P4" s="5"/>
      <c r="Q4" s="5">
        <v>1</v>
      </c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f t="shared" si="0"/>
        <v>0</v>
      </c>
    </row>
    <row r="5" spans="1:78" x14ac:dyDescent="0.55000000000000004">
      <c r="A5" s="43"/>
      <c r="B5" s="43"/>
      <c r="C5" s="43"/>
      <c r="D5" s="43"/>
      <c r="E5" s="43"/>
      <c r="F5" s="2"/>
      <c r="G5" s="2"/>
      <c r="H5" s="2"/>
      <c r="I5" s="2"/>
      <c r="J5" s="2"/>
      <c r="K5" s="2"/>
      <c r="M5" s="4" t="s">
        <v>77</v>
      </c>
      <c r="N5" s="5"/>
      <c r="O5" s="5"/>
      <c r="P5" s="5"/>
      <c r="Q5" s="5"/>
      <c r="R5" s="6">
        <v>1.8804283666413693E-2</v>
      </c>
      <c r="S5" s="6">
        <v>2.7264805913933158E-2</v>
      </c>
      <c r="T5" s="6">
        <v>3.6259381060797707E-2</v>
      </c>
      <c r="U5" s="6">
        <v>3.1705877392697528E-2</v>
      </c>
      <c r="V5" s="6">
        <v>3.0862635972678978E-2</v>
      </c>
      <c r="W5" s="6">
        <v>1.5571858223009247E-2</v>
      </c>
      <c r="X5" s="6">
        <v>2.6252916209910899E-2</v>
      </c>
      <c r="Y5" s="6">
        <v>8.5448463895213198E-3</v>
      </c>
      <c r="Z5" s="6">
        <v>1.051240970289794E-2</v>
      </c>
      <c r="AA5" s="6">
        <v>1.4841048992326503E-2</v>
      </c>
      <c r="AB5" s="6">
        <v>1.6696180116367317E-2</v>
      </c>
      <c r="AC5" s="6">
        <v>1.034376141889423E-2</v>
      </c>
      <c r="AD5" s="6">
        <v>2.8304803665289372E-2</v>
      </c>
      <c r="AE5" s="6">
        <v>3.6540461534137224E-2</v>
      </c>
      <c r="AF5" s="6">
        <v>6.8583635494842169E-3</v>
      </c>
      <c r="AG5" s="6">
        <v>1.1917812069595525E-2</v>
      </c>
      <c r="AH5" s="6">
        <v>2.1896168873148384E-2</v>
      </c>
      <c r="AI5" s="6">
        <v>3.3223711948730923E-2</v>
      </c>
      <c r="AJ5" s="6">
        <v>1.2845377631615931E-2</v>
      </c>
      <c r="AK5" s="6">
        <v>2.7798858813278243E-2</v>
      </c>
      <c r="AL5" s="6">
        <v>3.1790201534699386E-2</v>
      </c>
      <c r="AM5" s="6">
        <v>1.4194563903645614E-2</v>
      </c>
      <c r="AN5" s="6">
        <v>2.0799955027124267E-2</v>
      </c>
      <c r="AO5" s="6">
        <v>1.1974028164263429E-2</v>
      </c>
      <c r="AP5" s="6">
        <v>2.6140484020575092E-2</v>
      </c>
      <c r="AQ5" s="6">
        <v>1.0287545324226327E-2</v>
      </c>
      <c r="AR5" s="6">
        <v>9.5848441408775339E-3</v>
      </c>
      <c r="AS5" s="6">
        <v>3.2802091238721645E-2</v>
      </c>
      <c r="AT5" s="6">
        <v>1.8129690530398854E-2</v>
      </c>
      <c r="AU5" s="6">
        <v>1.7145908873710543E-2</v>
      </c>
      <c r="AV5" s="6">
        <v>1.23394327796048E-2</v>
      </c>
      <c r="AW5" s="6">
        <v>2.7545886387272678E-3</v>
      </c>
      <c r="AX5" s="6">
        <v>1.1299435028248588E-2</v>
      </c>
      <c r="AY5" s="6">
        <v>1.4082131714309807E-2</v>
      </c>
      <c r="AZ5" s="6">
        <v>1.4672400708322793E-2</v>
      </c>
      <c r="BA5" s="6">
        <v>1.2451864968940608E-2</v>
      </c>
      <c r="BB5" s="6">
        <v>6.5210669814767964E-3</v>
      </c>
      <c r="BC5" s="6">
        <v>9.4724119515417256E-3</v>
      </c>
      <c r="BD5" s="6">
        <v>1.1074570649576974E-2</v>
      </c>
      <c r="BE5" s="6">
        <v>1.4812940944992551E-2</v>
      </c>
      <c r="BF5" s="6">
        <v>1.675239621103522E-2</v>
      </c>
      <c r="BG5" s="6">
        <v>2.1418332068471203E-2</v>
      </c>
      <c r="BH5" s="6">
        <v>2.695561739325969E-2</v>
      </c>
      <c r="BI5" s="6">
        <v>2.8220479523287517E-2</v>
      </c>
      <c r="BJ5" s="6">
        <v>1.1271326980914636E-2</v>
      </c>
      <c r="BK5" s="6">
        <v>1.9366444613092729E-2</v>
      </c>
      <c r="BL5" s="6">
        <v>1.4756724850324648E-2</v>
      </c>
      <c r="BM5" s="6">
        <v>3.3982629226747621E-2</v>
      </c>
      <c r="BN5" s="6">
        <v>2.8192371475953566E-2</v>
      </c>
      <c r="BO5" s="6">
        <v>2.9794530173988813E-3</v>
      </c>
      <c r="BP5" s="6">
        <v>2.8108047333951711E-2</v>
      </c>
      <c r="BQ5" s="6">
        <v>1.824212271973466E-2</v>
      </c>
      <c r="BR5" s="6">
        <v>1.2255108637602945E-2</v>
      </c>
      <c r="BS5" s="6">
        <v>8.1232256795120451E-3</v>
      </c>
      <c r="BT5" s="5"/>
      <c r="BU5" s="5"/>
      <c r="BV5" s="5"/>
      <c r="BW5" s="5"/>
      <c r="BX5" s="5"/>
      <c r="BY5" s="5"/>
      <c r="BZ5" s="5">
        <f t="shared" si="0"/>
        <v>0</v>
      </c>
    </row>
    <row r="6" spans="1:78" x14ac:dyDescent="0.55000000000000004">
      <c r="A6" s="12"/>
      <c r="B6" s="12" t="s">
        <v>12</v>
      </c>
      <c r="C6" s="12" t="s">
        <v>6</v>
      </c>
      <c r="D6" s="12" t="s">
        <v>16</v>
      </c>
      <c r="E6" s="12" t="s">
        <v>15</v>
      </c>
      <c r="F6" s="12" t="s">
        <v>7</v>
      </c>
      <c r="G6" s="12" t="s">
        <v>13</v>
      </c>
      <c r="H6" s="12" t="s">
        <v>8</v>
      </c>
      <c r="I6" s="12" t="s">
        <v>9</v>
      </c>
      <c r="J6" s="12" t="s">
        <v>17</v>
      </c>
      <c r="K6" s="12" t="s">
        <v>18</v>
      </c>
      <c r="M6" s="4" t="s">
        <v>78</v>
      </c>
      <c r="N6" s="5"/>
      <c r="O6" s="5"/>
      <c r="P6" s="5"/>
      <c r="Q6" s="5"/>
      <c r="R6" s="6">
        <v>1.8804283666413693E-2</v>
      </c>
      <c r="S6" s="6">
        <v>2.7264805913933158E-2</v>
      </c>
      <c r="T6" s="6">
        <v>3.6259381060797707E-2</v>
      </c>
      <c r="U6" s="6">
        <v>3.1705877392697528E-2</v>
      </c>
      <c r="V6" s="6">
        <v>3.0862635972678978E-2</v>
      </c>
      <c r="W6" s="6">
        <v>1.5571858223009247E-2</v>
      </c>
      <c r="X6" s="6">
        <v>2.6252916209910899E-2</v>
      </c>
      <c r="Y6" s="6">
        <v>8.5448463895213198E-3</v>
      </c>
      <c r="Z6" s="6">
        <v>1.051240970289794E-2</v>
      </c>
      <c r="AA6" s="6">
        <v>1.4841048992326503E-2</v>
      </c>
      <c r="AB6" s="6">
        <v>1.6696180116367317E-2</v>
      </c>
      <c r="AC6" s="6">
        <v>1.034376141889423E-2</v>
      </c>
      <c r="AD6" s="6">
        <v>2.8304803665289372E-2</v>
      </c>
      <c r="AE6" s="6">
        <v>3.6540461534137224E-2</v>
      </c>
      <c r="AF6" s="6">
        <v>6.8583635494842169E-3</v>
      </c>
      <c r="AG6" s="6">
        <v>1.1917812069595525E-2</v>
      </c>
      <c r="AH6" s="6">
        <v>2.1896168873148384E-2</v>
      </c>
      <c r="AI6" s="6">
        <v>3.3223711948730923E-2</v>
      </c>
      <c r="AJ6" s="6">
        <v>1.2845377631615931E-2</v>
      </c>
      <c r="AK6" s="6">
        <v>2.7798858813278243E-2</v>
      </c>
      <c r="AL6" s="6">
        <v>3.1790201534699386E-2</v>
      </c>
      <c r="AM6" s="6">
        <v>1.4194563903645614E-2</v>
      </c>
      <c r="AN6" s="6">
        <v>2.0799955027124267E-2</v>
      </c>
      <c r="AO6" s="6">
        <v>1.1974028164263429E-2</v>
      </c>
      <c r="AP6" s="6">
        <v>2.6140484020575092E-2</v>
      </c>
      <c r="AQ6" s="6">
        <v>1.0287545324226327E-2</v>
      </c>
      <c r="AR6" s="6">
        <v>9.5848441408775339E-3</v>
      </c>
      <c r="AS6" s="6">
        <v>3.2802091238721645E-2</v>
      </c>
      <c r="AT6" s="6">
        <v>1.8129690530398854E-2</v>
      </c>
      <c r="AU6" s="6">
        <v>1.7145908873710543E-2</v>
      </c>
      <c r="AV6" s="6">
        <v>1.23394327796048E-2</v>
      </c>
      <c r="AW6" s="6">
        <v>2.7545886387272678E-3</v>
      </c>
      <c r="AX6" s="6">
        <v>1.1299435028248588E-2</v>
      </c>
      <c r="AY6" s="6">
        <v>1.4082131714309807E-2</v>
      </c>
      <c r="AZ6" s="6">
        <v>1.4672400708322793E-2</v>
      </c>
      <c r="BA6" s="6">
        <v>1.2451864968940608E-2</v>
      </c>
      <c r="BB6" s="6">
        <v>6.5210669814767964E-3</v>
      </c>
      <c r="BC6" s="6">
        <v>9.4724119515417256E-3</v>
      </c>
      <c r="BD6" s="6">
        <v>1.1074570649576974E-2</v>
      </c>
      <c r="BE6" s="6">
        <v>1.4812940944992551E-2</v>
      </c>
      <c r="BF6" s="6">
        <v>1.675239621103522E-2</v>
      </c>
      <c r="BG6" s="6">
        <v>2.1418332068471203E-2</v>
      </c>
      <c r="BH6" s="6">
        <v>2.695561739325969E-2</v>
      </c>
      <c r="BI6" s="6">
        <v>2.8220479523287517E-2</v>
      </c>
      <c r="BJ6" s="6">
        <v>1.1271326980914636E-2</v>
      </c>
      <c r="BK6" s="6">
        <v>1.9366444613092729E-2</v>
      </c>
      <c r="BL6" s="6">
        <v>1.4756724850324648E-2</v>
      </c>
      <c r="BM6" s="6">
        <v>3.3982629226747621E-2</v>
      </c>
      <c r="BN6" s="6">
        <v>2.8192371475953566E-2</v>
      </c>
      <c r="BO6" s="6">
        <v>2.9794530173988813E-3</v>
      </c>
      <c r="BP6" s="6">
        <v>2.8108047333951711E-2</v>
      </c>
      <c r="BQ6" s="6">
        <v>1.824212271973466E-2</v>
      </c>
      <c r="BR6" s="6">
        <v>1.2255108637602945E-2</v>
      </c>
      <c r="BS6" s="6">
        <v>8.1232256795120451E-3</v>
      </c>
      <c r="BT6" s="5"/>
      <c r="BU6" s="5"/>
      <c r="BV6" s="5"/>
      <c r="BW6" s="5"/>
      <c r="BX6" s="5"/>
      <c r="BY6" s="5"/>
      <c r="BZ6" s="5">
        <f t="shared" si="0"/>
        <v>0</v>
      </c>
    </row>
    <row r="7" spans="1:78" x14ac:dyDescent="0.55000000000000004">
      <c r="A7" s="10" t="s">
        <v>140</v>
      </c>
      <c r="B7" s="7">
        <v>4</v>
      </c>
      <c r="C7" s="7">
        <v>3.5</v>
      </c>
      <c r="D7" s="8">
        <f>+B3*N67</f>
        <v>1.0256410256410255</v>
      </c>
      <c r="E7" s="8">
        <f t="shared" ref="E7:E38" si="1">1/C7</f>
        <v>0.2857142857142857</v>
      </c>
      <c r="F7" s="8">
        <f>+(D7/(B7*E7))</f>
        <v>0.89743589743589736</v>
      </c>
      <c r="G7" s="8">
        <v>1.1600562359060679E-2</v>
      </c>
      <c r="H7" s="8">
        <f>+I7/D7</f>
        <v>6.676345454221881</v>
      </c>
      <c r="I7" s="8">
        <f>+(G7*(D7/E7)^B7*F7)/(FACT(B7)*(1-F7)^2)</f>
        <v>6.847533799201929</v>
      </c>
      <c r="J7" s="8">
        <f>+H7+C7</f>
        <v>10.176345454221881</v>
      </c>
      <c r="K7" s="8">
        <f>+J7*D7</f>
        <v>10.437277388945517</v>
      </c>
      <c r="L7">
        <f>+B7</f>
        <v>4</v>
      </c>
      <c r="M7" s="4" t="s">
        <v>22</v>
      </c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>
        <v>1</v>
      </c>
      <c r="BU7" s="5"/>
      <c r="BV7" s="5"/>
      <c r="BW7" s="5"/>
      <c r="BX7" s="5"/>
      <c r="BY7" s="5"/>
      <c r="BZ7" s="5">
        <f t="shared" si="0"/>
        <v>0</v>
      </c>
    </row>
    <row r="8" spans="1:78" x14ac:dyDescent="0.55000000000000004">
      <c r="A8" s="10" t="s">
        <v>79</v>
      </c>
      <c r="B8" s="7">
        <v>1</v>
      </c>
      <c r="C8" s="9">
        <v>3.5</v>
      </c>
      <c r="D8" s="8">
        <f>+B3*O67</f>
        <v>0.25641025641025639</v>
      </c>
      <c r="E8" s="8">
        <f t="shared" si="1"/>
        <v>0.2857142857142857</v>
      </c>
      <c r="F8" s="8">
        <f>+(D8/(B8*E8))</f>
        <v>0.89743589743589736</v>
      </c>
      <c r="G8" s="8">
        <v>0.10256410256410264</v>
      </c>
      <c r="H8" s="8">
        <f>+I8/D8</f>
        <v>30.624999999999975</v>
      </c>
      <c r="I8" s="8">
        <f>+(G8*(D8/E8)^B8*F8)/(FACT(B8)*(1-F8)^2)</f>
        <v>7.8525641025640951</v>
      </c>
      <c r="J8" s="8">
        <f>+H8+C8</f>
        <v>34.124999999999972</v>
      </c>
      <c r="K8" s="8">
        <f>+J8*D8</f>
        <v>8.7499999999999911</v>
      </c>
      <c r="L8">
        <f t="shared" ref="L8:L70" si="2">+B8</f>
        <v>1</v>
      </c>
      <c r="M8" s="4" t="s">
        <v>23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>
        <v>1</v>
      </c>
      <c r="BU8" s="5"/>
      <c r="BV8" s="5"/>
      <c r="BW8" s="5"/>
      <c r="BX8" s="5"/>
      <c r="BY8" s="5"/>
      <c r="BZ8" s="5">
        <f t="shared" si="0"/>
        <v>0</v>
      </c>
    </row>
    <row r="9" spans="1:78" x14ac:dyDescent="0.55000000000000004">
      <c r="A9" s="10" t="s">
        <v>77</v>
      </c>
      <c r="B9" s="7">
        <v>3</v>
      </c>
      <c r="C9" s="7">
        <v>2</v>
      </c>
      <c r="D9" s="8">
        <f>+D7*P3</f>
        <v>1.0256410256410255</v>
      </c>
      <c r="E9" s="8">
        <f t="shared" si="1"/>
        <v>0.5</v>
      </c>
      <c r="F9" s="8">
        <f t="shared" ref="F9:F70" si="3">+(D9/(B9*E9))</f>
        <v>0.68376068376068366</v>
      </c>
      <c r="G9" s="8">
        <v>0.10304934656859248</v>
      </c>
      <c r="H9" s="8">
        <f t="shared" ref="H9:H70" si="4">+I9/D9</f>
        <v>0.98820523015338335</v>
      </c>
      <c r="I9" s="8">
        <f t="shared" ref="I9:I70" si="5">+(G9*(D9/E9)^B9*F9)/(FACT(B9)*(1-F9)^2)</f>
        <v>1.0135438257983418</v>
      </c>
      <c r="J9" s="8">
        <f t="shared" ref="J9:J70" si="6">+H9+C9</f>
        <v>2.9882052301533832</v>
      </c>
      <c r="K9" s="8">
        <f t="shared" ref="K9:K70" si="7">+J9*D9</f>
        <v>3.0648258770803927</v>
      </c>
      <c r="L9">
        <f t="shared" si="2"/>
        <v>3</v>
      </c>
      <c r="M9" s="4" t="s">
        <v>24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>
        <v>1</v>
      </c>
      <c r="BU9" s="5"/>
      <c r="BV9" s="5"/>
      <c r="BW9" s="5"/>
      <c r="BX9" s="5"/>
      <c r="BY9" s="5"/>
      <c r="BZ9" s="5">
        <f t="shared" si="0"/>
        <v>0</v>
      </c>
    </row>
    <row r="10" spans="1:78" x14ac:dyDescent="0.55000000000000004">
      <c r="A10" s="10" t="s">
        <v>78</v>
      </c>
      <c r="B10" s="7">
        <v>1</v>
      </c>
      <c r="C10" s="7">
        <v>1.5</v>
      </c>
      <c r="D10" s="8">
        <f>+D8*Q4</f>
        <v>0.25641025641025639</v>
      </c>
      <c r="E10" s="8">
        <f t="shared" si="1"/>
        <v>0.66666666666666663</v>
      </c>
      <c r="F10" s="8">
        <f t="shared" si="3"/>
        <v>0.38461538461538458</v>
      </c>
      <c r="G10" s="8">
        <v>0.61538461538461542</v>
      </c>
      <c r="H10" s="8">
        <f t="shared" si="4"/>
        <v>0.93749999999999978</v>
      </c>
      <c r="I10" s="8">
        <f t="shared" si="5"/>
        <v>0.24038461538461531</v>
      </c>
      <c r="J10" s="8">
        <f t="shared" si="6"/>
        <v>2.4375</v>
      </c>
      <c r="K10" s="8">
        <f t="shared" si="7"/>
        <v>0.625</v>
      </c>
      <c r="L10">
        <f t="shared" si="2"/>
        <v>1</v>
      </c>
      <c r="M10" s="4" t="s">
        <v>25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>
        <v>1</v>
      </c>
      <c r="BU10" s="5"/>
      <c r="BV10" s="5"/>
      <c r="BW10" s="5"/>
      <c r="BX10" s="5"/>
      <c r="BY10" s="5"/>
      <c r="BZ10" s="5">
        <f t="shared" si="0"/>
        <v>0</v>
      </c>
    </row>
    <row r="11" spans="1:78" x14ac:dyDescent="0.55000000000000004">
      <c r="A11" s="10" t="s">
        <v>84</v>
      </c>
      <c r="B11" s="7">
        <v>1</v>
      </c>
      <c r="C11" s="7">
        <v>13</v>
      </c>
      <c r="D11" s="8">
        <f t="array" ref="D11:D64">MMULT(TRANSPOSE($R$5:$BS$6),$D$9:$D$10)</f>
        <v>2.4108055982581655E-2</v>
      </c>
      <c r="E11" s="8">
        <f t="shared" si="1"/>
        <v>7.6923076923076927E-2</v>
      </c>
      <c r="F11" s="8">
        <f t="shared" si="3"/>
        <v>0.31340472777356149</v>
      </c>
      <c r="G11" s="8">
        <v>0.68659527222643857</v>
      </c>
      <c r="H11" s="8">
        <f t="shared" si="4"/>
        <v>5.9340074507716842</v>
      </c>
      <c r="I11" s="8">
        <f t="shared" si="5"/>
        <v>0.14305738382426042</v>
      </c>
      <c r="J11" s="8">
        <f t="shared" si="6"/>
        <v>18.934007450771684</v>
      </c>
      <c r="K11" s="8">
        <f t="shared" si="7"/>
        <v>0.45646211159782191</v>
      </c>
      <c r="L11">
        <f t="shared" si="2"/>
        <v>1</v>
      </c>
      <c r="M11" s="4" t="s">
        <v>26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>
        <v>1</v>
      </c>
      <c r="BU11" s="5"/>
      <c r="BV11" s="5"/>
      <c r="BW11" s="5"/>
      <c r="BX11" s="5"/>
      <c r="BY11" s="5"/>
      <c r="BZ11" s="5">
        <f t="shared" si="0"/>
        <v>0</v>
      </c>
    </row>
    <row r="12" spans="1:78" x14ac:dyDescent="0.55000000000000004">
      <c r="A12" s="10" t="s">
        <v>85</v>
      </c>
      <c r="B12" s="7">
        <v>1</v>
      </c>
      <c r="C12" s="7">
        <v>13</v>
      </c>
      <c r="D12" s="8">
        <v>3.4954879376837375E-2</v>
      </c>
      <c r="E12" s="8">
        <f t="shared" si="1"/>
        <v>7.6923076923076927E-2</v>
      </c>
      <c r="F12" s="8">
        <f t="shared" si="3"/>
        <v>0.45441343189888583</v>
      </c>
      <c r="G12" s="8">
        <v>0.54558656810111417</v>
      </c>
      <c r="H12" s="8">
        <f t="shared" si="4"/>
        <v>10.827566073053866</v>
      </c>
      <c r="I12" s="8">
        <f t="shared" si="5"/>
        <v>0.37847626602833462</v>
      </c>
      <c r="J12" s="8">
        <f t="shared" si="6"/>
        <v>23.827566073053866</v>
      </c>
      <c r="K12" s="8">
        <f t="shared" si="7"/>
        <v>0.83288969792722045</v>
      </c>
      <c r="L12">
        <f t="shared" si="2"/>
        <v>1</v>
      </c>
      <c r="M12" s="4" t="s">
        <v>27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>
        <v>1</v>
      </c>
      <c r="BU12" s="5"/>
      <c r="BV12" s="5"/>
      <c r="BW12" s="5"/>
      <c r="BX12" s="5"/>
      <c r="BY12" s="5"/>
      <c r="BZ12" s="5">
        <f t="shared" si="0"/>
        <v>0</v>
      </c>
    </row>
    <row r="13" spans="1:78" x14ac:dyDescent="0.55000000000000004">
      <c r="A13" s="10" t="s">
        <v>86</v>
      </c>
      <c r="B13" s="7">
        <v>1</v>
      </c>
      <c r="C13" s="7">
        <v>13</v>
      </c>
      <c r="D13" s="8">
        <v>4.6486385975381676E-2</v>
      </c>
      <c r="E13" s="8">
        <f t="shared" si="1"/>
        <v>7.6923076923076927E-2</v>
      </c>
      <c r="F13" s="8">
        <f t="shared" si="3"/>
        <v>0.60432301767996177</v>
      </c>
      <c r="G13" s="8">
        <v>0.39567698232003817</v>
      </c>
      <c r="H13" s="8">
        <f t="shared" si="4"/>
        <v>19.855082759110601</v>
      </c>
      <c r="I13" s="8">
        <f t="shared" si="5"/>
        <v>0.92299104071316163</v>
      </c>
      <c r="J13" s="8">
        <f t="shared" si="6"/>
        <v>32.855082759110601</v>
      </c>
      <c r="K13" s="8">
        <f t="shared" si="7"/>
        <v>1.5273140583931233</v>
      </c>
      <c r="L13">
        <f t="shared" si="2"/>
        <v>1</v>
      </c>
      <c r="M13" s="4" t="s">
        <v>28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>
        <v>1</v>
      </c>
      <c r="BU13" s="5"/>
      <c r="BV13" s="5"/>
      <c r="BW13" s="5"/>
      <c r="BX13" s="5"/>
      <c r="BY13" s="5"/>
      <c r="BZ13" s="5">
        <f t="shared" si="0"/>
        <v>0</v>
      </c>
    </row>
    <row r="14" spans="1:78" x14ac:dyDescent="0.55000000000000004">
      <c r="A14" s="10" t="s">
        <v>87</v>
      </c>
      <c r="B14" s="7">
        <v>1</v>
      </c>
      <c r="C14" s="7">
        <v>13</v>
      </c>
      <c r="D14" s="8">
        <v>4.064856075986862E-2</v>
      </c>
      <c r="E14" s="8">
        <f t="shared" si="1"/>
        <v>7.6923076923076927E-2</v>
      </c>
      <c r="F14" s="8">
        <f t="shared" si="3"/>
        <v>0.52843128987829202</v>
      </c>
      <c r="G14" s="8">
        <v>0.47156871012170792</v>
      </c>
      <c r="H14" s="8">
        <f t="shared" si="4"/>
        <v>14.567562734696301</v>
      </c>
      <c r="I14" s="8">
        <f t="shared" si="5"/>
        <v>0.59215045894450047</v>
      </c>
      <c r="J14" s="8">
        <f t="shared" si="6"/>
        <v>27.567562734696303</v>
      </c>
      <c r="K14" s="8">
        <f t="shared" si="7"/>
        <v>1.1205817488227925</v>
      </c>
      <c r="L14">
        <f t="shared" si="2"/>
        <v>1</v>
      </c>
      <c r="M14" s="4" t="s">
        <v>29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>
        <v>1</v>
      </c>
      <c r="BU14" s="5"/>
      <c r="BV14" s="5"/>
      <c r="BW14" s="5"/>
      <c r="BX14" s="5"/>
      <c r="BY14" s="5"/>
      <c r="BZ14" s="5">
        <f t="shared" si="0"/>
        <v>0</v>
      </c>
    </row>
    <row r="15" spans="1:78" x14ac:dyDescent="0.55000000000000004">
      <c r="A15" s="10" t="s">
        <v>88</v>
      </c>
      <c r="B15" s="7">
        <v>1</v>
      </c>
      <c r="C15" s="7">
        <v>13</v>
      </c>
      <c r="D15" s="8">
        <v>3.9567482016255102E-2</v>
      </c>
      <c r="E15" s="8">
        <f t="shared" si="1"/>
        <v>7.6923076923076927E-2</v>
      </c>
      <c r="F15" s="8">
        <f t="shared" si="3"/>
        <v>0.5143772662113163</v>
      </c>
      <c r="G15" s="8">
        <v>0.4856227337886837</v>
      </c>
      <c r="H15" s="8">
        <f t="shared" si="4"/>
        <v>13.769751693002256</v>
      </c>
      <c r="I15" s="8">
        <f t="shared" si="5"/>
        <v>0.54483440248116499</v>
      </c>
      <c r="J15" s="8">
        <f t="shared" si="6"/>
        <v>26.769751693002256</v>
      </c>
      <c r="K15" s="8">
        <f t="shared" si="7"/>
        <v>1.0592116686924813</v>
      </c>
      <c r="L15">
        <f t="shared" si="2"/>
        <v>1</v>
      </c>
      <c r="M15" s="4" t="s">
        <v>30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>
        <v>1</v>
      </c>
      <c r="BU15" s="5"/>
      <c r="BV15" s="5"/>
      <c r="BW15" s="5"/>
      <c r="BX15" s="5"/>
      <c r="BY15" s="5"/>
      <c r="BZ15" s="5">
        <f t="shared" si="0"/>
        <v>0</v>
      </c>
    </row>
    <row r="16" spans="1:78" x14ac:dyDescent="0.55000000000000004">
      <c r="A16" s="10" t="s">
        <v>89</v>
      </c>
      <c r="B16" s="7">
        <v>1</v>
      </c>
      <c r="C16" s="7">
        <v>13</v>
      </c>
      <c r="D16" s="8">
        <v>1.9963920798729801E-2</v>
      </c>
      <c r="E16" s="8">
        <f t="shared" si="1"/>
        <v>7.6923076923076927E-2</v>
      </c>
      <c r="F16" s="8">
        <f t="shared" si="3"/>
        <v>0.25953097038348738</v>
      </c>
      <c r="G16" s="8">
        <v>0.74046902961651262</v>
      </c>
      <c r="H16" s="8">
        <f t="shared" si="4"/>
        <v>4.5564398780225455</v>
      </c>
      <c r="I16" s="8">
        <f t="shared" si="5"/>
        <v>9.0964404849016176E-2</v>
      </c>
      <c r="J16" s="8">
        <f t="shared" si="6"/>
        <v>17.556439878022545</v>
      </c>
      <c r="K16" s="8">
        <f t="shared" si="7"/>
        <v>0.35049537523250357</v>
      </c>
      <c r="L16">
        <f t="shared" si="2"/>
        <v>1</v>
      </c>
      <c r="M16" s="4" t="s">
        <v>31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>
        <v>1</v>
      </c>
      <c r="BU16" s="5"/>
      <c r="BV16" s="5"/>
      <c r="BW16" s="5"/>
      <c r="BX16" s="5"/>
      <c r="BY16" s="5"/>
      <c r="BZ16" s="5">
        <f t="shared" si="0"/>
        <v>0</v>
      </c>
    </row>
    <row r="17" spans="1:78" x14ac:dyDescent="0.55000000000000004">
      <c r="A17" s="10" t="s">
        <v>90</v>
      </c>
      <c r="B17" s="7">
        <v>1</v>
      </c>
      <c r="C17" s="7">
        <v>13</v>
      </c>
      <c r="D17" s="8">
        <v>3.365758488450115E-2</v>
      </c>
      <c r="E17" s="8">
        <f t="shared" si="1"/>
        <v>7.6923076923076927E-2</v>
      </c>
      <c r="F17" s="8">
        <f t="shared" si="3"/>
        <v>0.43754860349851493</v>
      </c>
      <c r="G17" s="8">
        <v>0.56245139650148501</v>
      </c>
      <c r="H17" s="8">
        <f t="shared" si="4"/>
        <v>10.113108227415834</v>
      </c>
      <c r="I17" s="8">
        <f t="shared" si="5"/>
        <v>0.34038279861039539</v>
      </c>
      <c r="J17" s="8">
        <f t="shared" si="6"/>
        <v>23.113108227415836</v>
      </c>
      <c r="K17" s="8">
        <f t="shared" si="7"/>
        <v>0.77793140210891043</v>
      </c>
      <c r="L17">
        <f t="shared" si="2"/>
        <v>1</v>
      </c>
      <c r="M17" s="4" t="s">
        <v>32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>
        <v>1</v>
      </c>
      <c r="BU17" s="5"/>
      <c r="BV17" s="5"/>
      <c r="BW17" s="5"/>
      <c r="BX17" s="5"/>
      <c r="BY17" s="5"/>
      <c r="BZ17" s="5">
        <f t="shared" si="0"/>
        <v>0</v>
      </c>
    </row>
    <row r="18" spans="1:78" x14ac:dyDescent="0.55000000000000004">
      <c r="A18" s="10" t="s">
        <v>91</v>
      </c>
      <c r="B18" s="7">
        <v>1</v>
      </c>
      <c r="C18" s="7">
        <v>13</v>
      </c>
      <c r="D18" s="8">
        <v>1.0954931268617078E-2</v>
      </c>
      <c r="E18" s="8">
        <f t="shared" si="1"/>
        <v>7.6923076923076927E-2</v>
      </c>
      <c r="F18" s="8">
        <f t="shared" si="3"/>
        <v>0.14241410649202199</v>
      </c>
      <c r="G18" s="8">
        <v>0.85758589350797809</v>
      </c>
      <c r="H18" s="8">
        <f t="shared" si="4"/>
        <v>2.1588314341589188</v>
      </c>
      <c r="I18" s="8">
        <f t="shared" si="5"/>
        <v>2.3649849981740988E-2</v>
      </c>
      <c r="J18" s="8">
        <f t="shared" si="6"/>
        <v>15.15883143415892</v>
      </c>
      <c r="K18" s="8">
        <f t="shared" si="7"/>
        <v>0.16606395647376301</v>
      </c>
      <c r="L18">
        <f t="shared" si="2"/>
        <v>1</v>
      </c>
      <c r="M18" s="4" t="s">
        <v>33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>
        <v>1</v>
      </c>
      <c r="BU18" s="5"/>
      <c r="BV18" s="5"/>
      <c r="BW18" s="5"/>
      <c r="BX18" s="5"/>
      <c r="BY18" s="5"/>
      <c r="BZ18" s="5">
        <f t="shared" si="0"/>
        <v>0</v>
      </c>
    </row>
    <row r="19" spans="1:78" x14ac:dyDescent="0.55000000000000004">
      <c r="A19" s="10" t="s">
        <v>92</v>
      </c>
      <c r="B19" s="7">
        <v>1</v>
      </c>
      <c r="C19" s="7">
        <v>13</v>
      </c>
      <c r="D19" s="8">
        <v>1.3477448337048639E-2</v>
      </c>
      <c r="E19" s="8">
        <f t="shared" si="1"/>
        <v>7.6923076923076927E-2</v>
      </c>
      <c r="F19" s="8">
        <f t="shared" si="3"/>
        <v>0.17520682838163229</v>
      </c>
      <c r="G19" s="8">
        <v>0.82479317161836774</v>
      </c>
      <c r="H19" s="8">
        <f t="shared" si="4"/>
        <v>2.7615271892855922</v>
      </c>
      <c r="I19" s="8">
        <f t="shared" si="5"/>
        <v>3.7218340024951703E-2</v>
      </c>
      <c r="J19" s="8">
        <f t="shared" si="6"/>
        <v>15.761527189285593</v>
      </c>
      <c r="K19" s="8">
        <f t="shared" si="7"/>
        <v>0.21242516840658401</v>
      </c>
      <c r="L19">
        <f t="shared" si="2"/>
        <v>1</v>
      </c>
      <c r="M19" s="4" t="s">
        <v>34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>
        <v>1</v>
      </c>
      <c r="BU19" s="5"/>
      <c r="BV19" s="5"/>
      <c r="BW19" s="5"/>
      <c r="BX19" s="5"/>
      <c r="BY19" s="5"/>
      <c r="BZ19" s="5">
        <f t="shared" si="0"/>
        <v>0</v>
      </c>
    </row>
    <row r="20" spans="1:78" x14ac:dyDescent="0.55000000000000004">
      <c r="A20" s="10" t="s">
        <v>93</v>
      </c>
      <c r="B20" s="7">
        <v>1</v>
      </c>
      <c r="C20" s="7">
        <v>13</v>
      </c>
      <c r="D20" s="8">
        <v>1.9026985887598078E-2</v>
      </c>
      <c r="E20" s="8">
        <f t="shared" si="1"/>
        <v>7.6923076923076927E-2</v>
      </c>
      <c r="F20" s="8">
        <f t="shared" si="3"/>
        <v>0.247350816538775</v>
      </c>
      <c r="G20" s="8">
        <v>0.752649183461225</v>
      </c>
      <c r="H20" s="8">
        <f t="shared" si="4"/>
        <v>4.2723232625013985</v>
      </c>
      <c r="I20" s="8">
        <f t="shared" si="5"/>
        <v>8.1289434422871093E-2</v>
      </c>
      <c r="J20" s="8">
        <f t="shared" si="6"/>
        <v>17.272323262501398</v>
      </c>
      <c r="K20" s="8">
        <f t="shared" si="7"/>
        <v>0.32864025096164612</v>
      </c>
      <c r="L20">
        <f t="shared" si="2"/>
        <v>1</v>
      </c>
      <c r="M20" s="4" t="s">
        <v>35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>
        <v>1</v>
      </c>
      <c r="BU20" s="5"/>
      <c r="BV20" s="5"/>
      <c r="BW20" s="5"/>
      <c r="BX20" s="5"/>
      <c r="BY20" s="5"/>
      <c r="BZ20" s="5">
        <f t="shared" si="0"/>
        <v>0</v>
      </c>
    </row>
    <row r="21" spans="1:78" x14ac:dyDescent="0.55000000000000004">
      <c r="A21" s="10" t="s">
        <v>94</v>
      </c>
      <c r="B21" s="7">
        <v>1</v>
      </c>
      <c r="C21" s="7">
        <v>13</v>
      </c>
      <c r="D21" s="8">
        <v>2.1405359123547841E-2</v>
      </c>
      <c r="E21" s="8">
        <f t="shared" si="1"/>
        <v>7.6923076923076927E-2</v>
      </c>
      <c r="F21" s="8">
        <f t="shared" si="3"/>
        <v>0.2782696686061219</v>
      </c>
      <c r="G21" s="8">
        <v>0.7217303313938781</v>
      </c>
      <c r="H21" s="8">
        <f t="shared" si="4"/>
        <v>5.0122677882930233</v>
      </c>
      <c r="I21" s="8">
        <f t="shared" si="5"/>
        <v>0.10728939203180303</v>
      </c>
      <c r="J21" s="8">
        <f t="shared" si="6"/>
        <v>18.012267788293023</v>
      </c>
      <c r="K21" s="8">
        <f t="shared" si="7"/>
        <v>0.38555906063792494</v>
      </c>
      <c r="L21">
        <f t="shared" si="2"/>
        <v>1</v>
      </c>
      <c r="M21" s="4" t="s">
        <v>36</v>
      </c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>
        <v>1</v>
      </c>
      <c r="BU21" s="5"/>
      <c r="BV21" s="5"/>
      <c r="BW21" s="5"/>
      <c r="BX21" s="5"/>
      <c r="BY21" s="5"/>
      <c r="BZ21" s="5">
        <f t="shared" si="0"/>
        <v>0</v>
      </c>
    </row>
    <row r="22" spans="1:78" x14ac:dyDescent="0.55000000000000004">
      <c r="A22" s="10" t="s">
        <v>95</v>
      </c>
      <c r="B22" s="7">
        <v>1</v>
      </c>
      <c r="C22" s="7">
        <v>13</v>
      </c>
      <c r="D22" s="8">
        <v>1.3261232588325934E-2</v>
      </c>
      <c r="E22" s="8">
        <f t="shared" si="1"/>
        <v>7.6923076923076927E-2</v>
      </c>
      <c r="F22" s="8">
        <f t="shared" si="3"/>
        <v>0.17239602364823714</v>
      </c>
      <c r="G22" s="8">
        <v>0.82760397635176286</v>
      </c>
      <c r="H22" s="8">
        <f t="shared" si="4"/>
        <v>2.70799606027329</v>
      </c>
      <c r="I22" s="8">
        <f t="shared" si="5"/>
        <v>3.5911365603554395E-2</v>
      </c>
      <c r="J22" s="8">
        <f t="shared" si="6"/>
        <v>15.70799606027329</v>
      </c>
      <c r="K22" s="8">
        <f t="shared" si="7"/>
        <v>0.20830738925179154</v>
      </c>
      <c r="L22">
        <f t="shared" si="2"/>
        <v>1</v>
      </c>
      <c r="M22" s="4" t="s">
        <v>37</v>
      </c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>
        <v>1</v>
      </c>
      <c r="BU22" s="5"/>
      <c r="BV22" s="5"/>
      <c r="BW22" s="5"/>
      <c r="BX22" s="5"/>
      <c r="BY22" s="5"/>
      <c r="BZ22" s="5">
        <f t="shared" si="0"/>
        <v>0</v>
      </c>
    </row>
    <row r="23" spans="1:78" x14ac:dyDescent="0.55000000000000004">
      <c r="A23" s="10" t="s">
        <v>136</v>
      </c>
      <c r="B23" s="7">
        <v>1</v>
      </c>
      <c r="C23" s="7">
        <v>13</v>
      </c>
      <c r="D23" s="8">
        <v>3.6288209827294061E-2</v>
      </c>
      <c r="E23" s="8">
        <f t="shared" si="1"/>
        <v>7.6923076923076927E-2</v>
      </c>
      <c r="F23" s="8">
        <f t="shared" si="3"/>
        <v>0.47174672775482279</v>
      </c>
      <c r="G23" s="8">
        <v>0.52825327224517715</v>
      </c>
      <c r="H23" s="8">
        <f t="shared" si="4"/>
        <v>11.609407424486969</v>
      </c>
      <c r="I23" s="8">
        <f t="shared" si="5"/>
        <v>0.42128461259032868</v>
      </c>
      <c r="J23" s="8">
        <f t="shared" si="6"/>
        <v>24.609407424486967</v>
      </c>
      <c r="K23" s="8">
        <f t="shared" si="7"/>
        <v>0.89303134034515141</v>
      </c>
      <c r="L23">
        <f t="shared" si="2"/>
        <v>1</v>
      </c>
      <c r="M23" s="4" t="s">
        <v>38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>
        <v>1</v>
      </c>
      <c r="BU23" s="5"/>
      <c r="BV23" s="5"/>
      <c r="BW23" s="5"/>
      <c r="BX23" s="5"/>
      <c r="BY23" s="5"/>
      <c r="BZ23" s="5">
        <f t="shared" si="0"/>
        <v>0</v>
      </c>
    </row>
    <row r="24" spans="1:78" x14ac:dyDescent="0.55000000000000004">
      <c r="A24" s="10" t="s">
        <v>96</v>
      </c>
      <c r="B24" s="7">
        <v>1</v>
      </c>
      <c r="C24" s="7">
        <v>13</v>
      </c>
      <c r="D24" s="8">
        <v>4.6846745556586175E-2</v>
      </c>
      <c r="E24" s="8">
        <f t="shared" si="1"/>
        <v>7.6923076923076927E-2</v>
      </c>
      <c r="F24" s="8">
        <f t="shared" si="3"/>
        <v>0.60900769223562023</v>
      </c>
      <c r="G24" s="8">
        <v>0.39099230776437971</v>
      </c>
      <c r="H24" s="8">
        <f t="shared" si="4"/>
        <v>20.248735951690577</v>
      </c>
      <c r="I24" s="8">
        <f t="shared" si="5"/>
        <v>0.9485873809713472</v>
      </c>
      <c r="J24" s="8">
        <f t="shared" si="6"/>
        <v>33.248735951690577</v>
      </c>
      <c r="K24" s="8">
        <f t="shared" si="7"/>
        <v>1.5575950732069674</v>
      </c>
      <c r="L24">
        <f t="shared" si="2"/>
        <v>1</v>
      </c>
      <c r="M24" s="4" t="s">
        <v>39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>
        <v>1</v>
      </c>
      <c r="BU24" s="5"/>
      <c r="BV24" s="5"/>
      <c r="BW24" s="5"/>
      <c r="BX24" s="5"/>
      <c r="BY24" s="5"/>
      <c r="BZ24" s="5">
        <f t="shared" si="0"/>
        <v>0</v>
      </c>
    </row>
    <row r="25" spans="1:78" x14ac:dyDescent="0.55000000000000004">
      <c r="A25" s="10" t="s">
        <v>97</v>
      </c>
      <c r="B25" s="7">
        <v>1</v>
      </c>
      <c r="C25" s="7">
        <v>13</v>
      </c>
      <c r="D25" s="8">
        <v>8.7927737813900207E-3</v>
      </c>
      <c r="E25" s="8">
        <f t="shared" si="1"/>
        <v>7.6923076923076927E-2</v>
      </c>
      <c r="F25" s="8">
        <f t="shared" si="3"/>
        <v>0.11430605915807027</v>
      </c>
      <c r="G25" s="8">
        <v>0.88569394084192976</v>
      </c>
      <c r="H25" s="8">
        <f t="shared" si="4"/>
        <v>1.677756503157694</v>
      </c>
      <c r="I25" s="8">
        <f t="shared" si="5"/>
        <v>1.4752133392521575E-2</v>
      </c>
      <c r="J25" s="8">
        <f t="shared" si="6"/>
        <v>14.677756503157694</v>
      </c>
      <c r="K25" s="8">
        <f t="shared" si="7"/>
        <v>0.12905819255059184</v>
      </c>
      <c r="L25">
        <f t="shared" si="2"/>
        <v>1</v>
      </c>
      <c r="M25" s="4" t="s">
        <v>40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>
        <v>1</v>
      </c>
      <c r="BV25" s="5"/>
      <c r="BW25" s="5"/>
      <c r="BX25" s="5"/>
      <c r="BY25" s="5"/>
      <c r="BZ25" s="5">
        <f t="shared" si="0"/>
        <v>0</v>
      </c>
    </row>
    <row r="26" spans="1:78" x14ac:dyDescent="0.55000000000000004">
      <c r="A26" s="10" t="s">
        <v>98</v>
      </c>
      <c r="B26" s="7">
        <v>1</v>
      </c>
      <c r="C26" s="7">
        <v>13</v>
      </c>
      <c r="D26" s="8">
        <v>1.5279246243071185E-2</v>
      </c>
      <c r="E26" s="8">
        <f t="shared" si="1"/>
        <v>7.6923076923076927E-2</v>
      </c>
      <c r="F26" s="8">
        <f t="shared" si="3"/>
        <v>0.19863020115992538</v>
      </c>
      <c r="G26" s="8">
        <v>0.80136979884007453</v>
      </c>
      <c r="H26" s="8">
        <f t="shared" si="4"/>
        <v>3.2222235212963706</v>
      </c>
      <c r="I26" s="8">
        <f t="shared" si="5"/>
        <v>4.9233146632103174E-2</v>
      </c>
      <c r="J26" s="8">
        <f t="shared" si="6"/>
        <v>16.222223521296371</v>
      </c>
      <c r="K26" s="8">
        <f t="shared" si="7"/>
        <v>0.24786334779202857</v>
      </c>
      <c r="L26">
        <f t="shared" si="2"/>
        <v>1</v>
      </c>
      <c r="M26" s="4" t="s">
        <v>41</v>
      </c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>
        <v>1</v>
      </c>
      <c r="BV26" s="5"/>
      <c r="BW26" s="5"/>
      <c r="BX26" s="5"/>
      <c r="BY26" s="5"/>
      <c r="BZ26" s="5">
        <f t="shared" si="0"/>
        <v>0</v>
      </c>
    </row>
    <row r="27" spans="1:78" x14ac:dyDescent="0.55000000000000004">
      <c r="A27" s="10" t="s">
        <v>99</v>
      </c>
      <c r="B27" s="7">
        <v>1</v>
      </c>
      <c r="C27" s="7">
        <v>13</v>
      </c>
      <c r="D27" s="8">
        <v>2.8072011375831259E-2</v>
      </c>
      <c r="E27" s="8">
        <f t="shared" si="1"/>
        <v>7.6923076923076927E-2</v>
      </c>
      <c r="F27" s="8">
        <f t="shared" si="3"/>
        <v>0.36493614788580636</v>
      </c>
      <c r="G27" s="8">
        <v>0.63506385211419358</v>
      </c>
      <c r="H27" s="8">
        <f t="shared" si="4"/>
        <v>7.4703825555834227</v>
      </c>
      <c r="I27" s="8">
        <f t="shared" si="5"/>
        <v>0.20970866408214925</v>
      </c>
      <c r="J27" s="8">
        <f t="shared" si="6"/>
        <v>20.470382555583424</v>
      </c>
      <c r="K27" s="8">
        <f t="shared" si="7"/>
        <v>0.57464481196795558</v>
      </c>
      <c r="L27">
        <f t="shared" si="2"/>
        <v>1</v>
      </c>
      <c r="M27" s="4" t="s">
        <v>42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>
        <v>1</v>
      </c>
      <c r="BV27" s="5"/>
      <c r="BW27" s="5"/>
      <c r="BX27" s="5"/>
      <c r="BY27" s="5"/>
      <c r="BZ27" s="5">
        <f t="shared" si="0"/>
        <v>0</v>
      </c>
    </row>
    <row r="28" spans="1:78" x14ac:dyDescent="0.55000000000000004">
      <c r="A28" s="10" t="s">
        <v>100</v>
      </c>
      <c r="B28" s="7">
        <v>1</v>
      </c>
      <c r="C28" s="7">
        <v>13</v>
      </c>
      <c r="D28" s="8">
        <v>4.2594502498372974E-2</v>
      </c>
      <c r="E28" s="8">
        <f t="shared" si="1"/>
        <v>7.6923076923076927E-2</v>
      </c>
      <c r="F28" s="8">
        <f t="shared" si="3"/>
        <v>0.55372853247884868</v>
      </c>
      <c r="G28" s="8">
        <v>0.44627146752115138</v>
      </c>
      <c r="H28" s="8">
        <f t="shared" si="4"/>
        <v>16.130251306921966</v>
      </c>
      <c r="I28" s="8">
        <f t="shared" si="5"/>
        <v>0.68706002959207157</v>
      </c>
      <c r="J28" s="8">
        <f t="shared" si="6"/>
        <v>29.130251306921966</v>
      </c>
      <c r="K28" s="8">
        <f t="shared" si="7"/>
        <v>1.2407885620709203</v>
      </c>
      <c r="L28">
        <f t="shared" si="2"/>
        <v>1</v>
      </c>
      <c r="M28" s="4" t="s">
        <v>43</v>
      </c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>
        <v>1</v>
      </c>
      <c r="BV28" s="5"/>
      <c r="BW28" s="5"/>
      <c r="BX28" s="5"/>
      <c r="BY28" s="5"/>
      <c r="BZ28" s="5">
        <f t="shared" si="0"/>
        <v>0</v>
      </c>
    </row>
    <row r="29" spans="1:78" x14ac:dyDescent="0.55000000000000004">
      <c r="A29" s="10" t="s">
        <v>101</v>
      </c>
      <c r="B29" s="7">
        <v>1</v>
      </c>
      <c r="C29" s="7">
        <v>13</v>
      </c>
      <c r="D29" s="8">
        <v>1.6468432861046066E-2</v>
      </c>
      <c r="E29" s="8">
        <f t="shared" si="1"/>
        <v>7.6923076923076927E-2</v>
      </c>
      <c r="F29" s="8">
        <f t="shared" si="3"/>
        <v>0.21408962719359884</v>
      </c>
      <c r="G29" s="8">
        <v>0.78591037280640119</v>
      </c>
      <c r="H29" s="8">
        <f t="shared" si="4"/>
        <v>3.5413264028802698</v>
      </c>
      <c r="I29" s="8">
        <f t="shared" si="5"/>
        <v>5.8320096104883493E-2</v>
      </c>
      <c r="J29" s="8">
        <f t="shared" si="6"/>
        <v>16.541326402880269</v>
      </c>
      <c r="K29" s="8">
        <f t="shared" si="7"/>
        <v>0.27240972329848234</v>
      </c>
      <c r="L29">
        <f t="shared" si="2"/>
        <v>1</v>
      </c>
      <c r="M29" s="4" t="s">
        <v>44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>
        <v>1</v>
      </c>
      <c r="BV29" s="5"/>
      <c r="BW29" s="5"/>
      <c r="BX29" s="5"/>
      <c r="BY29" s="5"/>
      <c r="BZ29" s="5">
        <f t="shared" si="0"/>
        <v>0</v>
      </c>
    </row>
    <row r="30" spans="1:78" x14ac:dyDescent="0.55000000000000004">
      <c r="A30" s="10" t="s">
        <v>102</v>
      </c>
      <c r="B30" s="7">
        <v>1</v>
      </c>
      <c r="C30" s="7">
        <v>13</v>
      </c>
      <c r="D30" s="8">
        <v>3.5639562581125946E-2</v>
      </c>
      <c r="E30" s="8">
        <f t="shared" si="1"/>
        <v>7.6923076923076927E-2</v>
      </c>
      <c r="F30" s="8">
        <f t="shared" si="3"/>
        <v>0.46331431355463726</v>
      </c>
      <c r="G30" s="8">
        <v>0.53668568644536274</v>
      </c>
      <c r="H30" s="8">
        <f t="shared" si="4"/>
        <v>11.22274401634049</v>
      </c>
      <c r="I30" s="8">
        <f t="shared" si="5"/>
        <v>0.39997368770232367</v>
      </c>
      <c r="J30" s="8">
        <f t="shared" si="6"/>
        <v>24.222744016340492</v>
      </c>
      <c r="K30" s="8">
        <f t="shared" si="7"/>
        <v>0.86328800125696104</v>
      </c>
      <c r="L30">
        <f t="shared" si="2"/>
        <v>1</v>
      </c>
      <c r="M30" s="4" t="s">
        <v>45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>
        <v>1</v>
      </c>
      <c r="BV30" s="5"/>
      <c r="BW30" s="5"/>
      <c r="BX30" s="5"/>
      <c r="BY30" s="5"/>
      <c r="BZ30" s="5">
        <f t="shared" si="0"/>
        <v>0</v>
      </c>
    </row>
    <row r="31" spans="1:78" x14ac:dyDescent="0.55000000000000004">
      <c r="A31" s="10" t="s">
        <v>103</v>
      </c>
      <c r="B31" s="7">
        <v>1</v>
      </c>
      <c r="C31" s="7">
        <v>13</v>
      </c>
      <c r="D31" s="8">
        <v>4.0756668634229977E-2</v>
      </c>
      <c r="E31" s="8">
        <f t="shared" si="1"/>
        <v>7.6923076923076927E-2</v>
      </c>
      <c r="F31" s="8">
        <f t="shared" si="3"/>
        <v>0.52983669224498964</v>
      </c>
      <c r="G31" s="8">
        <v>0.47016330775501036</v>
      </c>
      <c r="H31" s="8">
        <f t="shared" si="4"/>
        <v>14.649967119029109</v>
      </c>
      <c r="I31" s="8">
        <f t="shared" si="5"/>
        <v>0.5970838553726342</v>
      </c>
      <c r="J31" s="8">
        <f t="shared" si="6"/>
        <v>27.649967119029107</v>
      </c>
      <c r="K31" s="8">
        <f t="shared" si="7"/>
        <v>1.1269205476176238</v>
      </c>
      <c r="L31">
        <f t="shared" si="2"/>
        <v>1</v>
      </c>
      <c r="M31" s="4" t="s">
        <v>46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>
        <v>1</v>
      </c>
      <c r="BV31" s="5"/>
      <c r="BW31" s="5"/>
      <c r="BX31" s="5"/>
      <c r="BY31" s="5"/>
      <c r="BZ31" s="5">
        <f t="shared" si="0"/>
        <v>0</v>
      </c>
    </row>
    <row r="32" spans="1:78" x14ac:dyDescent="0.55000000000000004">
      <c r="A32" s="10" t="s">
        <v>104</v>
      </c>
      <c r="B32" s="7">
        <v>1</v>
      </c>
      <c r="C32" s="7">
        <v>13</v>
      </c>
      <c r="D32" s="8">
        <v>1.8198158850827706E-2</v>
      </c>
      <c r="E32" s="8">
        <f t="shared" si="1"/>
        <v>7.6923076923076927E-2</v>
      </c>
      <c r="F32" s="8">
        <f t="shared" si="3"/>
        <v>0.23657606506076018</v>
      </c>
      <c r="G32" s="8">
        <v>0.76342393493923977</v>
      </c>
      <c r="H32" s="8">
        <f t="shared" si="4"/>
        <v>4.0285465323204175</v>
      </c>
      <c r="I32" s="8">
        <f t="shared" si="5"/>
        <v>7.331212973311807E-2</v>
      </c>
      <c r="J32" s="8">
        <f t="shared" si="6"/>
        <v>17.028546532320419</v>
      </c>
      <c r="K32" s="8">
        <f t="shared" si="7"/>
        <v>0.3098881947938783</v>
      </c>
      <c r="L32">
        <f t="shared" si="2"/>
        <v>1</v>
      </c>
      <c r="M32" s="4" t="s">
        <v>47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>
        <v>1</v>
      </c>
      <c r="BV32" s="5"/>
      <c r="BW32" s="5"/>
      <c r="BX32" s="5"/>
      <c r="BY32" s="5"/>
      <c r="BZ32" s="5">
        <f t="shared" si="0"/>
        <v>0</v>
      </c>
    </row>
    <row r="33" spans="1:78" x14ac:dyDescent="0.55000000000000004">
      <c r="A33" s="10" t="s">
        <v>105</v>
      </c>
      <c r="B33" s="7">
        <v>1</v>
      </c>
      <c r="C33" s="7">
        <v>13</v>
      </c>
      <c r="D33" s="8">
        <v>2.6666609009133674E-2</v>
      </c>
      <c r="E33" s="8">
        <f t="shared" si="1"/>
        <v>7.6923076923076927E-2</v>
      </c>
      <c r="F33" s="8">
        <f t="shared" si="3"/>
        <v>0.34666591711873773</v>
      </c>
      <c r="G33" s="8">
        <v>0.65333408288126227</v>
      </c>
      <c r="H33" s="8">
        <f t="shared" si="4"/>
        <v>6.8979363554229804</v>
      </c>
      <c r="I33" s="8">
        <f t="shared" si="5"/>
        <v>0.18394457175995316</v>
      </c>
      <c r="J33" s="8">
        <f t="shared" si="6"/>
        <v>19.897936355422981</v>
      </c>
      <c r="K33" s="8">
        <f t="shared" si="7"/>
        <v>0.53061048887869089</v>
      </c>
      <c r="L33">
        <f t="shared" si="2"/>
        <v>1</v>
      </c>
      <c r="M33" s="4" t="s">
        <v>48</v>
      </c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>
        <v>1</v>
      </c>
      <c r="BV33" s="5"/>
      <c r="BW33" s="5"/>
      <c r="BX33" s="5"/>
      <c r="BY33" s="5"/>
      <c r="BZ33" s="5">
        <f t="shared" si="0"/>
        <v>0</v>
      </c>
    </row>
    <row r="34" spans="1:78" x14ac:dyDescent="0.55000000000000004">
      <c r="A34" s="10" t="s">
        <v>106</v>
      </c>
      <c r="B34" s="7">
        <v>1</v>
      </c>
      <c r="C34" s="7">
        <v>13</v>
      </c>
      <c r="D34" s="8">
        <v>1.5351318159312085E-2</v>
      </c>
      <c r="E34" s="8">
        <f t="shared" si="1"/>
        <v>7.6923076923076927E-2</v>
      </c>
      <c r="F34" s="8">
        <f t="shared" si="3"/>
        <v>0.19956713607105711</v>
      </c>
      <c r="G34" s="8">
        <v>0.80043286392894297</v>
      </c>
      <c r="H34" s="8">
        <f t="shared" si="4"/>
        <v>3.2412122063419604</v>
      </c>
      <c r="I34" s="8">
        <f t="shared" si="5"/>
        <v>4.9756879801401324E-2</v>
      </c>
      <c r="J34" s="8">
        <f t="shared" si="6"/>
        <v>16.24121220634196</v>
      </c>
      <c r="K34" s="8">
        <f t="shared" si="7"/>
        <v>0.24932401587245842</v>
      </c>
      <c r="L34">
        <f t="shared" si="2"/>
        <v>1</v>
      </c>
      <c r="M34" s="4" t="s">
        <v>49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>
        <v>1</v>
      </c>
      <c r="BV34" s="5"/>
      <c r="BW34" s="5"/>
      <c r="BX34" s="5"/>
      <c r="BY34" s="5"/>
      <c r="BZ34" s="5">
        <f t="shared" si="0"/>
        <v>0</v>
      </c>
    </row>
    <row r="35" spans="1:78" x14ac:dyDescent="0.55000000000000004">
      <c r="A35" s="10" t="s">
        <v>107</v>
      </c>
      <c r="B35" s="7">
        <v>1</v>
      </c>
      <c r="C35" s="7">
        <v>13</v>
      </c>
      <c r="D35" s="8">
        <v>3.3513441052019345E-2</v>
      </c>
      <c r="E35" s="8">
        <f t="shared" si="1"/>
        <v>7.6923076923076927E-2</v>
      </c>
      <c r="F35" s="8">
        <f t="shared" si="3"/>
        <v>0.43567473367625148</v>
      </c>
      <c r="G35" s="8">
        <v>0.56432526632374846</v>
      </c>
      <c r="H35" s="8">
        <f t="shared" si="4"/>
        <v>10.036360013946302</v>
      </c>
      <c r="I35" s="8">
        <f t="shared" si="5"/>
        <v>0.33635295970423346</v>
      </c>
      <c r="J35" s="8">
        <f t="shared" si="6"/>
        <v>23.0363600139463</v>
      </c>
      <c r="K35" s="8">
        <f t="shared" si="7"/>
        <v>0.77202769338048483</v>
      </c>
      <c r="L35">
        <f t="shared" si="2"/>
        <v>1</v>
      </c>
      <c r="M35" s="4" t="s">
        <v>50</v>
      </c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>
        <v>1</v>
      </c>
      <c r="BV35" s="5"/>
      <c r="BW35" s="5"/>
      <c r="BX35" s="5"/>
      <c r="BY35" s="5"/>
      <c r="BZ35" s="5">
        <f t="shared" ref="BZ35:BZ66" si="8">1-(SUM(N35:BY35))</f>
        <v>0</v>
      </c>
    </row>
    <row r="36" spans="1:78" x14ac:dyDescent="0.55000000000000004">
      <c r="A36" s="10" t="s">
        <v>108</v>
      </c>
      <c r="B36" s="7">
        <v>1</v>
      </c>
      <c r="C36" s="7">
        <v>13</v>
      </c>
      <c r="D36" s="8">
        <v>1.3189160672085034E-2</v>
      </c>
      <c r="E36" s="8">
        <f t="shared" si="1"/>
        <v>7.6923076923076927E-2</v>
      </c>
      <c r="F36" s="8">
        <f t="shared" si="3"/>
        <v>0.17145908873710541</v>
      </c>
      <c r="G36" s="8">
        <v>0.82854091126289464</v>
      </c>
      <c r="H36" s="8">
        <f t="shared" si="4"/>
        <v>2.6902330630661191</v>
      </c>
      <c r="I36" s="8">
        <f t="shared" si="5"/>
        <v>3.5481916114134517E-2</v>
      </c>
      <c r="J36" s="8">
        <f t="shared" si="6"/>
        <v>15.690233063066119</v>
      </c>
      <c r="K36" s="8">
        <f t="shared" si="7"/>
        <v>0.20694100485123995</v>
      </c>
      <c r="L36">
        <f t="shared" si="2"/>
        <v>1</v>
      </c>
      <c r="M36" s="4" t="s">
        <v>51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>
        <v>1</v>
      </c>
      <c r="BV36" s="5"/>
      <c r="BW36" s="5"/>
      <c r="BX36" s="5"/>
      <c r="BY36" s="5"/>
      <c r="BZ36" s="5">
        <f t="shared" si="8"/>
        <v>0</v>
      </c>
    </row>
    <row r="37" spans="1:78" x14ac:dyDescent="0.55000000000000004">
      <c r="A37" s="10" t="s">
        <v>109</v>
      </c>
      <c r="B37" s="7">
        <v>1</v>
      </c>
      <c r="C37" s="7">
        <v>13</v>
      </c>
      <c r="D37" s="8">
        <v>1.2288261719073761E-2</v>
      </c>
      <c r="E37" s="8">
        <f t="shared" si="1"/>
        <v>7.6923076923076927E-2</v>
      </c>
      <c r="F37" s="8">
        <f t="shared" si="3"/>
        <v>0.15974740234795887</v>
      </c>
      <c r="G37" s="8">
        <v>0.84025259765204108</v>
      </c>
      <c r="H37" s="8">
        <f t="shared" si="4"/>
        <v>2.4715380069356936</v>
      </c>
      <c r="I37" s="8">
        <f t="shared" si="5"/>
        <v>3.037090587786374E-2</v>
      </c>
      <c r="J37" s="8">
        <f t="shared" si="6"/>
        <v>15.471538006935694</v>
      </c>
      <c r="K37" s="8">
        <f t="shared" si="7"/>
        <v>0.19011830822582262</v>
      </c>
      <c r="L37">
        <f t="shared" si="2"/>
        <v>1</v>
      </c>
      <c r="M37" s="4" t="s">
        <v>52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>
        <v>1</v>
      </c>
      <c r="BV37" s="5"/>
      <c r="BW37" s="5"/>
      <c r="BX37" s="5"/>
      <c r="BY37" s="5"/>
      <c r="BZ37" s="5">
        <f t="shared" si="8"/>
        <v>0</v>
      </c>
    </row>
    <row r="38" spans="1:78" x14ac:dyDescent="0.55000000000000004">
      <c r="A38" s="10" t="s">
        <v>110</v>
      </c>
      <c r="B38" s="7">
        <v>1</v>
      </c>
      <c r="C38" s="7">
        <v>13</v>
      </c>
      <c r="D38" s="8">
        <v>4.2053963126566216E-2</v>
      </c>
      <c r="E38" s="8">
        <f t="shared" si="1"/>
        <v>7.6923076923076927E-2</v>
      </c>
      <c r="F38" s="8">
        <f t="shared" si="3"/>
        <v>0.54670152064536082</v>
      </c>
      <c r="G38" s="8">
        <v>0.45329847935463913</v>
      </c>
      <c r="H38" s="8">
        <f t="shared" si="4"/>
        <v>15.678675513114653</v>
      </c>
      <c r="I38" s="8">
        <f t="shared" si="5"/>
        <v>0.65935044190192027</v>
      </c>
      <c r="J38" s="8">
        <f t="shared" si="6"/>
        <v>28.678675513114655</v>
      </c>
      <c r="K38" s="8">
        <f t="shared" si="7"/>
        <v>1.2060519625472812</v>
      </c>
      <c r="L38">
        <f t="shared" si="2"/>
        <v>1</v>
      </c>
      <c r="M38" s="4" t="s">
        <v>53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>
        <v>1</v>
      </c>
      <c r="BV38" s="5"/>
      <c r="BW38" s="5"/>
      <c r="BX38" s="5"/>
      <c r="BY38" s="5"/>
      <c r="BZ38" s="5">
        <f t="shared" si="8"/>
        <v>0</v>
      </c>
    </row>
    <row r="39" spans="1:78" x14ac:dyDescent="0.55000000000000004">
      <c r="A39" s="10" t="s">
        <v>111</v>
      </c>
      <c r="B39" s="7">
        <v>1</v>
      </c>
      <c r="C39" s="7">
        <v>13</v>
      </c>
      <c r="D39" s="8">
        <v>2.3243192987690838E-2</v>
      </c>
      <c r="E39" s="8">
        <f t="shared" ref="E39:E70" si="9">1/C39</f>
        <v>7.6923076923076927E-2</v>
      </c>
      <c r="F39" s="8">
        <f t="shared" si="3"/>
        <v>0.30216150883998089</v>
      </c>
      <c r="G39" s="8">
        <v>0.69783849116001917</v>
      </c>
      <c r="H39" s="8">
        <f t="shared" si="4"/>
        <v>5.6289523502638268</v>
      </c>
      <c r="I39" s="8">
        <f t="shared" si="5"/>
        <v>0.13083482579569805</v>
      </c>
      <c r="J39" s="8">
        <f t="shared" si="6"/>
        <v>18.628952350263827</v>
      </c>
      <c r="K39" s="8">
        <f t="shared" si="7"/>
        <v>0.43299633463567894</v>
      </c>
      <c r="L39">
        <f t="shared" si="2"/>
        <v>1</v>
      </c>
      <c r="M39" s="4" t="s">
        <v>54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>
        <v>1</v>
      </c>
      <c r="BV39" s="5"/>
      <c r="BW39" s="5"/>
      <c r="BX39" s="5"/>
      <c r="BY39" s="5"/>
      <c r="BZ39" s="5">
        <f t="shared" si="8"/>
        <v>0</v>
      </c>
    </row>
    <row r="40" spans="1:78" x14ac:dyDescent="0.55000000000000004">
      <c r="A40" s="10" t="s">
        <v>112</v>
      </c>
      <c r="B40" s="7">
        <v>1</v>
      </c>
      <c r="C40" s="7">
        <v>13</v>
      </c>
      <c r="D40" s="8">
        <v>2.1981934453475051E-2</v>
      </c>
      <c r="E40" s="8">
        <f t="shared" si="9"/>
        <v>7.6923076923076927E-2</v>
      </c>
      <c r="F40" s="8">
        <f t="shared" si="3"/>
        <v>0.28576514789517565</v>
      </c>
      <c r="G40" s="8">
        <v>0.71423485210482429</v>
      </c>
      <c r="H40" s="8">
        <f t="shared" si="4"/>
        <v>5.2012960606577359</v>
      </c>
      <c r="I40" s="8">
        <f t="shared" si="5"/>
        <v>0.11433454907849634</v>
      </c>
      <c r="J40" s="8">
        <f t="shared" si="6"/>
        <v>18.201296060657736</v>
      </c>
      <c r="K40" s="8">
        <f t="shared" si="7"/>
        <v>0.40009969697367198</v>
      </c>
      <c r="L40">
        <f t="shared" si="2"/>
        <v>1</v>
      </c>
      <c r="M40" s="4" t="s">
        <v>55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>
        <v>1</v>
      </c>
      <c r="BV40" s="5"/>
      <c r="BW40" s="5"/>
      <c r="BX40" s="5"/>
      <c r="BY40" s="5"/>
      <c r="BZ40" s="5">
        <f t="shared" si="8"/>
        <v>0</v>
      </c>
    </row>
    <row r="41" spans="1:78" x14ac:dyDescent="0.55000000000000004">
      <c r="A41" s="10" t="s">
        <v>137</v>
      </c>
      <c r="B41" s="7">
        <v>1</v>
      </c>
      <c r="C41" s="7">
        <v>13</v>
      </c>
      <c r="D41" s="8">
        <v>1.5819785614877947E-2</v>
      </c>
      <c r="E41" s="8">
        <f t="shared" si="9"/>
        <v>7.6923076923076927E-2</v>
      </c>
      <c r="F41" s="8">
        <f t="shared" si="3"/>
        <v>0.2056572129934133</v>
      </c>
      <c r="G41" s="8">
        <v>0.79434278700658667</v>
      </c>
      <c r="H41" s="8">
        <f t="shared" si="4"/>
        <v>3.3657305292459387</v>
      </c>
      <c r="I41" s="8">
        <f t="shared" si="5"/>
        <v>5.3245135410120437E-2</v>
      </c>
      <c r="J41" s="8">
        <f t="shared" si="6"/>
        <v>16.365730529245937</v>
      </c>
      <c r="K41" s="8">
        <f t="shared" si="7"/>
        <v>0.25890234840353371</v>
      </c>
      <c r="L41">
        <f t="shared" si="2"/>
        <v>1</v>
      </c>
      <c r="M41" s="4" t="s">
        <v>56</v>
      </c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>
        <v>1</v>
      </c>
      <c r="BV41" s="5"/>
      <c r="BW41" s="5"/>
      <c r="BX41" s="5"/>
      <c r="BY41" s="5"/>
      <c r="BZ41" s="5">
        <f t="shared" si="8"/>
        <v>0</v>
      </c>
    </row>
    <row r="42" spans="1:78" x14ac:dyDescent="0.55000000000000004">
      <c r="A42" s="10" t="s">
        <v>113</v>
      </c>
      <c r="B42" s="7">
        <v>1</v>
      </c>
      <c r="C42" s="7">
        <v>13</v>
      </c>
      <c r="D42" s="8">
        <v>3.531523895804189E-3</v>
      </c>
      <c r="E42" s="8">
        <f t="shared" si="9"/>
        <v>7.6923076923076927E-2</v>
      </c>
      <c r="F42" s="8">
        <f t="shared" si="3"/>
        <v>4.5909810645454456E-2</v>
      </c>
      <c r="G42" s="8">
        <v>0.95409018935454548</v>
      </c>
      <c r="H42" s="8">
        <f t="shared" si="4"/>
        <v>0.6255462481955395</v>
      </c>
      <c r="I42" s="8">
        <f t="shared" si="5"/>
        <v>2.2091315234332057E-3</v>
      </c>
      <c r="J42" s="8">
        <f t="shared" si="6"/>
        <v>13.625546248195539</v>
      </c>
      <c r="K42" s="8">
        <f t="shared" si="7"/>
        <v>4.8118942168887659E-2</v>
      </c>
      <c r="L42">
        <f t="shared" si="2"/>
        <v>1</v>
      </c>
      <c r="M42" s="4" t="s">
        <v>57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>
        <v>1</v>
      </c>
      <c r="BV42" s="5"/>
      <c r="BW42" s="5"/>
      <c r="BX42" s="5"/>
      <c r="BY42" s="5"/>
      <c r="BZ42" s="5">
        <f t="shared" si="8"/>
        <v>0</v>
      </c>
    </row>
    <row r="43" spans="1:78" x14ac:dyDescent="0.55000000000000004">
      <c r="A43" s="10" t="s">
        <v>114</v>
      </c>
      <c r="B43" s="7">
        <v>1</v>
      </c>
      <c r="C43" s="7">
        <v>13</v>
      </c>
      <c r="D43" s="8">
        <v>1.4486455164421264E-2</v>
      </c>
      <c r="E43" s="8">
        <f t="shared" si="9"/>
        <v>7.6923076923076927E-2</v>
      </c>
      <c r="F43" s="8">
        <f t="shared" si="3"/>
        <v>0.18832391713747643</v>
      </c>
      <c r="G43" s="8">
        <v>0.81167608286252346</v>
      </c>
      <c r="H43" s="8">
        <f t="shared" si="4"/>
        <v>3.0162412993039429</v>
      </c>
      <c r="I43" s="8">
        <f t="shared" si="5"/>
        <v>4.3694644347442309E-2</v>
      </c>
      <c r="J43" s="8">
        <f t="shared" si="6"/>
        <v>16.016241299303942</v>
      </c>
      <c r="K43" s="8">
        <f t="shared" si="7"/>
        <v>0.23201856148491873</v>
      </c>
      <c r="L43">
        <f t="shared" si="2"/>
        <v>1</v>
      </c>
      <c r="M43" s="4" t="s">
        <v>58</v>
      </c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>
        <v>1</v>
      </c>
      <c r="BW43" s="5"/>
      <c r="BX43" s="5"/>
      <c r="BY43" s="5"/>
      <c r="BZ43" s="5">
        <f t="shared" si="8"/>
        <v>0</v>
      </c>
    </row>
    <row r="44" spans="1:78" x14ac:dyDescent="0.55000000000000004">
      <c r="A44" s="10" t="s">
        <v>115</v>
      </c>
      <c r="B44" s="7">
        <v>1</v>
      </c>
      <c r="C44" s="7">
        <v>13</v>
      </c>
      <c r="D44" s="8">
        <v>1.8054015018345904E-2</v>
      </c>
      <c r="E44" s="8">
        <f t="shared" si="9"/>
        <v>7.6923076923076927E-2</v>
      </c>
      <c r="F44" s="8">
        <f t="shared" si="3"/>
        <v>0.23470219523849675</v>
      </c>
      <c r="G44" s="8">
        <v>0.76529780476150333</v>
      </c>
      <c r="H44" s="8">
        <f t="shared" si="4"/>
        <v>3.9868512873250816</v>
      </c>
      <c r="I44" s="8">
        <f t="shared" si="5"/>
        <v>7.1978673017278727E-2</v>
      </c>
      <c r="J44" s="8">
        <f t="shared" si="6"/>
        <v>16.986851287325081</v>
      </c>
      <c r="K44" s="8">
        <f t="shared" si="7"/>
        <v>0.30668086825577545</v>
      </c>
      <c r="L44">
        <f t="shared" si="2"/>
        <v>1</v>
      </c>
      <c r="M44" s="4" t="s">
        <v>59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>
        <v>1</v>
      </c>
      <c r="BW44" s="5"/>
      <c r="BX44" s="5"/>
      <c r="BY44" s="5"/>
      <c r="BZ44" s="5">
        <f t="shared" si="8"/>
        <v>0</v>
      </c>
    </row>
    <row r="45" spans="1:78" x14ac:dyDescent="0.55000000000000004">
      <c r="A45" s="10" t="s">
        <v>116</v>
      </c>
      <c r="B45" s="7">
        <v>1</v>
      </c>
      <c r="C45" s="7">
        <v>13</v>
      </c>
      <c r="D45" s="8">
        <v>1.8810770138875374E-2</v>
      </c>
      <c r="E45" s="8">
        <f t="shared" si="9"/>
        <v>7.6923076923076927E-2</v>
      </c>
      <c r="F45" s="8">
        <f t="shared" si="3"/>
        <v>0.24454001180537985</v>
      </c>
      <c r="G45" s="8">
        <v>0.75545998819462024</v>
      </c>
      <c r="H45" s="8">
        <f t="shared" si="4"/>
        <v>4.2080589351490119</v>
      </c>
      <c r="I45" s="8">
        <f t="shared" si="5"/>
        <v>7.9156829359928738E-2</v>
      </c>
      <c r="J45" s="8">
        <f t="shared" si="6"/>
        <v>17.208058935149012</v>
      </c>
      <c r="K45" s="8">
        <f t="shared" si="7"/>
        <v>0.32369684116530861</v>
      </c>
      <c r="L45">
        <f t="shared" si="2"/>
        <v>1</v>
      </c>
      <c r="M45" s="4" t="s">
        <v>60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>
        <v>1</v>
      </c>
      <c r="BW45" s="5"/>
      <c r="BX45" s="5"/>
      <c r="BY45" s="5"/>
      <c r="BZ45" s="5">
        <f t="shared" si="8"/>
        <v>0</v>
      </c>
    </row>
    <row r="46" spans="1:78" x14ac:dyDescent="0.55000000000000004">
      <c r="A46" s="10" t="s">
        <v>117</v>
      </c>
      <c r="B46" s="7">
        <v>1</v>
      </c>
      <c r="C46" s="7">
        <v>13</v>
      </c>
      <c r="D46" s="8">
        <v>1.5963929447359752E-2</v>
      </c>
      <c r="E46" s="8">
        <f t="shared" si="9"/>
        <v>7.6923076923076927E-2</v>
      </c>
      <c r="F46" s="8">
        <f t="shared" si="3"/>
        <v>0.20753108281567675</v>
      </c>
      <c r="G46" s="8">
        <v>0.79246891718432333</v>
      </c>
      <c r="H46" s="8">
        <f t="shared" si="4"/>
        <v>3.4044288906492</v>
      </c>
      <c r="I46" s="8">
        <f t="shared" si="5"/>
        <v>5.4348062618877056E-2</v>
      </c>
      <c r="J46" s="8">
        <f t="shared" si="6"/>
        <v>16.4044288906492</v>
      </c>
      <c r="K46" s="8">
        <f t="shared" si="7"/>
        <v>0.26187914543455382</v>
      </c>
      <c r="L46">
        <f t="shared" si="2"/>
        <v>1</v>
      </c>
      <c r="M46" s="4" t="s">
        <v>61</v>
      </c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>
        <v>1</v>
      </c>
      <c r="BW46" s="5"/>
      <c r="BX46" s="5"/>
      <c r="BY46" s="5"/>
      <c r="BZ46" s="5">
        <f t="shared" si="8"/>
        <v>0</v>
      </c>
    </row>
    <row r="47" spans="1:78" x14ac:dyDescent="0.55000000000000004">
      <c r="A47" s="10" t="s">
        <v>118</v>
      </c>
      <c r="B47" s="7">
        <v>1</v>
      </c>
      <c r="C47" s="7">
        <v>13</v>
      </c>
      <c r="D47" s="8">
        <v>8.3603422839446107E-3</v>
      </c>
      <c r="E47" s="8">
        <f t="shared" si="9"/>
        <v>7.6923076923076927E-2</v>
      </c>
      <c r="F47" s="8">
        <f t="shared" si="3"/>
        <v>0.10868444969127994</v>
      </c>
      <c r="G47" s="8">
        <v>0.89131555030872001</v>
      </c>
      <c r="H47" s="8">
        <f t="shared" si="4"/>
        <v>1.585182537763715</v>
      </c>
      <c r="I47" s="8">
        <f t="shared" si="5"/>
        <v>1.3252668598236612E-2</v>
      </c>
      <c r="J47" s="8">
        <f t="shared" si="6"/>
        <v>14.585182537763714</v>
      </c>
      <c r="K47" s="8">
        <f t="shared" si="7"/>
        <v>0.12193711828951655</v>
      </c>
      <c r="L47">
        <f t="shared" si="2"/>
        <v>1</v>
      </c>
      <c r="M47" s="4" t="s">
        <v>62</v>
      </c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>
        <v>1</v>
      </c>
      <c r="BW47" s="5"/>
      <c r="BX47" s="5"/>
      <c r="BY47" s="5"/>
      <c r="BZ47" s="5">
        <f t="shared" si="8"/>
        <v>0</v>
      </c>
    </row>
    <row r="48" spans="1:78" x14ac:dyDescent="0.55000000000000004">
      <c r="A48" s="10" t="s">
        <v>119</v>
      </c>
      <c r="B48" s="7">
        <v>1</v>
      </c>
      <c r="C48" s="7">
        <v>13</v>
      </c>
      <c r="D48" s="8">
        <v>1.2144117886591956E-2</v>
      </c>
      <c r="E48" s="8">
        <f t="shared" si="9"/>
        <v>7.6923076923076927E-2</v>
      </c>
      <c r="F48" s="8">
        <f t="shared" si="3"/>
        <v>0.15787353252569541</v>
      </c>
      <c r="G48" s="8">
        <v>0.84212646747430464</v>
      </c>
      <c r="H48" s="8">
        <f t="shared" si="4"/>
        <v>2.4371112915966666</v>
      </c>
      <c r="I48" s="8">
        <f t="shared" si="5"/>
        <v>2.9596566827894303E-2</v>
      </c>
      <c r="J48" s="8">
        <f t="shared" si="6"/>
        <v>15.437111291596667</v>
      </c>
      <c r="K48" s="8">
        <f t="shared" si="7"/>
        <v>0.18747009935358971</v>
      </c>
      <c r="L48">
        <f t="shared" si="2"/>
        <v>1</v>
      </c>
      <c r="M48" s="4" t="s">
        <v>63</v>
      </c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>
        <v>1</v>
      </c>
      <c r="BW48" s="5"/>
      <c r="BX48" s="5"/>
      <c r="BY48" s="5"/>
      <c r="BZ48" s="5">
        <f t="shared" si="8"/>
        <v>0</v>
      </c>
    </row>
    <row r="49" spans="1:78" x14ac:dyDescent="0.55000000000000004">
      <c r="A49" s="10" t="s">
        <v>120</v>
      </c>
      <c r="B49" s="7">
        <v>1</v>
      </c>
      <c r="C49" s="7">
        <v>13</v>
      </c>
      <c r="D49" s="8">
        <v>1.4198167499457659E-2</v>
      </c>
      <c r="E49" s="8">
        <f t="shared" si="9"/>
        <v>7.6923076923076927E-2</v>
      </c>
      <c r="F49" s="8">
        <f t="shared" si="3"/>
        <v>0.18457617749294955</v>
      </c>
      <c r="G49" s="8">
        <v>0.81542382250705048</v>
      </c>
      <c r="H49" s="8">
        <f t="shared" si="4"/>
        <v>2.9426296377152967</v>
      </c>
      <c r="I49" s="8">
        <f t="shared" si="5"/>
        <v>4.1779948485150188E-2</v>
      </c>
      <c r="J49" s="8">
        <f t="shared" si="6"/>
        <v>15.942629637715296</v>
      </c>
      <c r="K49" s="8">
        <f t="shared" si="7"/>
        <v>0.22635612597809973</v>
      </c>
      <c r="L49">
        <f t="shared" si="2"/>
        <v>1</v>
      </c>
      <c r="M49" s="4" t="s">
        <v>64</v>
      </c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>
        <v>1</v>
      </c>
      <c r="BW49" s="5"/>
      <c r="BX49" s="5"/>
      <c r="BY49" s="5"/>
      <c r="BZ49" s="5">
        <f t="shared" si="8"/>
        <v>0</v>
      </c>
    </row>
    <row r="50" spans="1:78" x14ac:dyDescent="0.55000000000000004">
      <c r="A50" s="10" t="s">
        <v>121</v>
      </c>
      <c r="B50" s="7">
        <v>1</v>
      </c>
      <c r="C50" s="7">
        <v>13</v>
      </c>
      <c r="D50" s="8">
        <v>1.899094992947763E-2</v>
      </c>
      <c r="E50" s="8">
        <f t="shared" si="9"/>
        <v>7.6923076923076927E-2</v>
      </c>
      <c r="F50" s="8">
        <f t="shared" si="3"/>
        <v>0.24688234908320919</v>
      </c>
      <c r="G50" s="8">
        <v>0.75311765091679084</v>
      </c>
      <c r="H50" s="8">
        <f t="shared" si="4"/>
        <v>4.2615792289222574</v>
      </c>
      <c r="I50" s="8">
        <f t="shared" si="5"/>
        <v>8.0931437756964472E-2</v>
      </c>
      <c r="J50" s="8">
        <f t="shared" si="6"/>
        <v>17.261579228922258</v>
      </c>
      <c r="K50" s="8">
        <f t="shared" si="7"/>
        <v>0.3278137868401737</v>
      </c>
      <c r="L50">
        <f t="shared" si="2"/>
        <v>1</v>
      </c>
      <c r="M50" s="4" t="s">
        <v>65</v>
      </c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>
        <v>1</v>
      </c>
      <c r="BW50" s="5"/>
      <c r="BX50" s="5"/>
      <c r="BY50" s="5"/>
      <c r="BZ50" s="5">
        <f t="shared" si="8"/>
        <v>0</v>
      </c>
    </row>
    <row r="51" spans="1:78" x14ac:dyDescent="0.55000000000000004">
      <c r="A51" s="10" t="s">
        <v>122</v>
      </c>
      <c r="B51" s="7">
        <v>1</v>
      </c>
      <c r="C51" s="7">
        <v>13</v>
      </c>
      <c r="D51" s="8">
        <v>2.1477431039788743E-2</v>
      </c>
      <c r="E51" s="8">
        <f t="shared" si="9"/>
        <v>7.6923076923076927E-2</v>
      </c>
      <c r="F51" s="8">
        <f t="shared" si="3"/>
        <v>0.27920660351725363</v>
      </c>
      <c r="G51" s="8">
        <v>0.72079339648274643</v>
      </c>
      <c r="H51" s="8">
        <f t="shared" si="4"/>
        <v>5.0356813248235408</v>
      </c>
      <c r="I51" s="8">
        <f t="shared" si="5"/>
        <v>0.10815349839224962</v>
      </c>
      <c r="J51" s="8">
        <f t="shared" si="6"/>
        <v>18.035681324823543</v>
      </c>
      <c r="K51" s="8">
        <f t="shared" si="7"/>
        <v>0.38736010190950332</v>
      </c>
      <c r="L51">
        <f t="shared" si="2"/>
        <v>1</v>
      </c>
      <c r="M51" s="4" t="s">
        <v>66</v>
      </c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>
        <v>1</v>
      </c>
      <c r="BW51" s="5"/>
      <c r="BX51" s="5"/>
      <c r="BY51" s="5"/>
      <c r="BZ51" s="5">
        <f t="shared" si="8"/>
        <v>0</v>
      </c>
    </row>
    <row r="52" spans="1:78" x14ac:dyDescent="0.55000000000000004">
      <c r="A52" s="10" t="s">
        <v>123</v>
      </c>
      <c r="B52" s="7">
        <v>1</v>
      </c>
      <c r="C52" s="7">
        <v>13</v>
      </c>
      <c r="D52" s="8">
        <v>2.7459400087783591E-2</v>
      </c>
      <c r="E52" s="8">
        <f t="shared" si="9"/>
        <v>7.6923076923076927E-2</v>
      </c>
      <c r="F52" s="8">
        <f t="shared" si="3"/>
        <v>0.35697220114118666</v>
      </c>
      <c r="G52" s="8">
        <v>0.64302779885881345</v>
      </c>
      <c r="H52" s="8">
        <f t="shared" si="4"/>
        <v>7.2168553569086837</v>
      </c>
      <c r="I52" s="8">
        <f t="shared" si="5"/>
        <v>0.19817051862101978</v>
      </c>
      <c r="J52" s="8">
        <f t="shared" si="6"/>
        <v>20.216855356908685</v>
      </c>
      <c r="K52" s="8">
        <f t="shared" si="7"/>
        <v>0.55514271976220653</v>
      </c>
      <c r="L52">
        <f t="shared" si="2"/>
        <v>1</v>
      </c>
      <c r="M52" s="4" t="s">
        <v>67</v>
      </c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>
        <v>1</v>
      </c>
      <c r="BW52" s="5"/>
      <c r="BX52" s="5"/>
      <c r="BY52" s="5"/>
      <c r="BZ52" s="5">
        <f t="shared" si="8"/>
        <v>0</v>
      </c>
    </row>
    <row r="53" spans="1:78" x14ac:dyDescent="0.55000000000000004">
      <c r="A53" s="10" t="s">
        <v>124</v>
      </c>
      <c r="B53" s="7">
        <v>1</v>
      </c>
      <c r="C53" s="7">
        <v>13</v>
      </c>
      <c r="D53" s="8">
        <v>3.4558483837512421E-2</v>
      </c>
      <c r="E53" s="8">
        <f t="shared" si="9"/>
        <v>7.6923076923076927E-2</v>
      </c>
      <c r="F53" s="8">
        <f t="shared" si="3"/>
        <v>0.44926028988766148</v>
      </c>
      <c r="G53" s="8">
        <v>0.55073971011233858</v>
      </c>
      <c r="H53" s="8">
        <f t="shared" si="4"/>
        <v>10.60461713819091</v>
      </c>
      <c r="I53" s="8">
        <f t="shared" si="5"/>
        <v>0.36647948997317781</v>
      </c>
      <c r="J53" s="8">
        <f t="shared" si="6"/>
        <v>23.60461713819091</v>
      </c>
      <c r="K53" s="8">
        <f t="shared" si="7"/>
        <v>0.81573977986083934</v>
      </c>
      <c r="L53">
        <f t="shared" si="2"/>
        <v>1</v>
      </c>
      <c r="M53" s="4" t="s">
        <v>68</v>
      </c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>
        <v>1</v>
      </c>
      <c r="BW53" s="5"/>
      <c r="BX53" s="5"/>
      <c r="BY53" s="5"/>
      <c r="BZ53" s="5">
        <f t="shared" si="8"/>
        <v>0</v>
      </c>
    </row>
    <row r="54" spans="1:78" x14ac:dyDescent="0.55000000000000004">
      <c r="A54" s="10" t="s">
        <v>125</v>
      </c>
      <c r="B54" s="7">
        <v>1</v>
      </c>
      <c r="C54" s="7">
        <v>13</v>
      </c>
      <c r="D54" s="8">
        <v>3.6180101952932711E-2</v>
      </c>
      <c r="E54" s="8">
        <f t="shared" si="9"/>
        <v>7.6923076923076927E-2</v>
      </c>
      <c r="F54" s="8">
        <f t="shared" si="3"/>
        <v>0.47034132538812523</v>
      </c>
      <c r="G54" s="8">
        <v>0.52965867461187477</v>
      </c>
      <c r="H54" s="8">
        <f t="shared" si="4"/>
        <v>11.544108542215772</v>
      </c>
      <c r="I54" s="8">
        <f t="shared" si="5"/>
        <v>0.41766702401308803</v>
      </c>
      <c r="J54" s="8">
        <f t="shared" si="6"/>
        <v>24.544108542215774</v>
      </c>
      <c r="K54" s="8">
        <f t="shared" si="7"/>
        <v>0.88800834940121331</v>
      </c>
      <c r="L54">
        <f t="shared" si="2"/>
        <v>1</v>
      </c>
      <c r="M54" s="4" t="s">
        <v>69</v>
      </c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>
        <v>1</v>
      </c>
      <c r="BW54" s="5"/>
      <c r="BX54" s="5"/>
      <c r="BY54" s="5"/>
      <c r="BZ54" s="5">
        <f t="shared" si="8"/>
        <v>0</v>
      </c>
    </row>
    <row r="55" spans="1:78" x14ac:dyDescent="0.55000000000000004">
      <c r="A55" s="10" t="s">
        <v>126</v>
      </c>
      <c r="B55" s="7">
        <v>1</v>
      </c>
      <c r="C55" s="7">
        <v>13</v>
      </c>
      <c r="D55" s="8">
        <v>1.4450419206300816E-2</v>
      </c>
      <c r="E55" s="8">
        <f t="shared" si="9"/>
        <v>7.6923076923076927E-2</v>
      </c>
      <c r="F55" s="8">
        <f t="shared" si="3"/>
        <v>0.18785544968191059</v>
      </c>
      <c r="G55" s="8">
        <v>0.81214455031808941</v>
      </c>
      <c r="H55" s="8">
        <f t="shared" si="4"/>
        <v>3.0070026880169811</v>
      </c>
      <c r="I55" s="8">
        <f t="shared" si="5"/>
        <v>4.3452449396318767E-2</v>
      </c>
      <c r="J55" s="8">
        <f t="shared" si="6"/>
        <v>16.007002688016982</v>
      </c>
      <c r="K55" s="8">
        <f t="shared" si="7"/>
        <v>0.23130789907822938</v>
      </c>
      <c r="L55">
        <f t="shared" si="2"/>
        <v>1</v>
      </c>
      <c r="M55" s="4" t="s">
        <v>70</v>
      </c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>
        <v>1</v>
      </c>
      <c r="BW55" s="5"/>
      <c r="BX55" s="5"/>
      <c r="BY55" s="5"/>
      <c r="BZ55" s="5">
        <f t="shared" si="8"/>
        <v>0</v>
      </c>
    </row>
    <row r="56" spans="1:78" x14ac:dyDescent="0.55000000000000004">
      <c r="A56" s="10" t="s">
        <v>127</v>
      </c>
      <c r="B56" s="7">
        <v>1</v>
      </c>
      <c r="C56" s="7">
        <v>13</v>
      </c>
      <c r="D56" s="8">
        <v>2.4828775144990677E-2</v>
      </c>
      <c r="E56" s="8">
        <f t="shared" si="9"/>
        <v>7.6923076923076927E-2</v>
      </c>
      <c r="F56" s="8">
        <f t="shared" si="3"/>
        <v>0.3227740768848788</v>
      </c>
      <c r="G56" s="8">
        <v>0.6772259231151212</v>
      </c>
      <c r="H56" s="8">
        <f t="shared" si="4"/>
        <v>6.1959574438649163</v>
      </c>
      <c r="I56" s="8">
        <f t="shared" si="5"/>
        <v>0.1538380341816532</v>
      </c>
      <c r="J56" s="8">
        <f t="shared" si="6"/>
        <v>19.195957443864916</v>
      </c>
      <c r="K56" s="8">
        <f t="shared" si="7"/>
        <v>0.47661211106653201</v>
      </c>
      <c r="L56">
        <f t="shared" si="2"/>
        <v>1</v>
      </c>
      <c r="M56" s="4" t="s">
        <v>71</v>
      </c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>
        <v>1</v>
      </c>
      <c r="BW56" s="5"/>
      <c r="BX56" s="5"/>
      <c r="BY56" s="5"/>
      <c r="BZ56" s="5">
        <f t="shared" si="8"/>
        <v>0</v>
      </c>
    </row>
    <row r="57" spans="1:78" x14ac:dyDescent="0.55000000000000004">
      <c r="A57" s="10" t="s">
        <v>128</v>
      </c>
      <c r="B57" s="7">
        <v>1</v>
      </c>
      <c r="C57" s="7">
        <v>13</v>
      </c>
      <c r="D57" s="8">
        <v>1.8918878013236728E-2</v>
      </c>
      <c r="E57" s="8">
        <f t="shared" si="9"/>
        <v>7.6923076923076927E-2</v>
      </c>
      <c r="F57" s="8">
        <f t="shared" si="3"/>
        <v>0.24594541417207744</v>
      </c>
      <c r="G57" s="8">
        <v>0.75405458582792262</v>
      </c>
      <c r="H57" s="8">
        <f t="shared" si="4"/>
        <v>4.2401312110933</v>
      </c>
      <c r="I57" s="8">
        <f t="shared" si="5"/>
        <v>8.0218525142791847E-2</v>
      </c>
      <c r="J57" s="8">
        <f t="shared" si="6"/>
        <v>17.240131211093299</v>
      </c>
      <c r="K57" s="8">
        <f t="shared" si="7"/>
        <v>0.32616393931486931</v>
      </c>
      <c r="L57">
        <f t="shared" si="2"/>
        <v>1</v>
      </c>
      <c r="M57" s="4" t="s">
        <v>72</v>
      </c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>
        <v>1</v>
      </c>
      <c r="BW57" s="5"/>
      <c r="BX57" s="5"/>
      <c r="BY57" s="5"/>
      <c r="BZ57" s="5">
        <f t="shared" si="8"/>
        <v>0</v>
      </c>
    </row>
    <row r="58" spans="1:78" x14ac:dyDescent="0.55000000000000004">
      <c r="A58" s="10" t="s">
        <v>129</v>
      </c>
      <c r="B58" s="7">
        <v>1</v>
      </c>
      <c r="C58" s="7">
        <v>13</v>
      </c>
      <c r="D58" s="8">
        <v>4.3567473367625148E-2</v>
      </c>
      <c r="E58" s="8">
        <f t="shared" si="9"/>
        <v>7.6923076923076927E-2</v>
      </c>
      <c r="F58" s="8">
        <f t="shared" si="3"/>
        <v>0.5663771537791269</v>
      </c>
      <c r="G58" s="8">
        <v>0.4336228462208731</v>
      </c>
      <c r="H58" s="8">
        <f t="shared" si="4"/>
        <v>16.979970182148175</v>
      </c>
      <c r="I58" s="8">
        <f t="shared" si="5"/>
        <v>0.73977439869380979</v>
      </c>
      <c r="J58" s="8">
        <f t="shared" si="6"/>
        <v>29.979970182148175</v>
      </c>
      <c r="K58" s="8">
        <f t="shared" si="7"/>
        <v>1.3061515524729368</v>
      </c>
      <c r="L58">
        <f t="shared" si="2"/>
        <v>1</v>
      </c>
      <c r="M58" s="4" t="s">
        <v>73</v>
      </c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>
        <v>1</v>
      </c>
      <c r="BW58" s="5"/>
      <c r="BX58" s="5"/>
      <c r="BY58" s="5"/>
      <c r="BZ58" s="5">
        <f t="shared" si="8"/>
        <v>0</v>
      </c>
    </row>
    <row r="59" spans="1:78" x14ac:dyDescent="0.55000000000000004">
      <c r="A59" s="10" t="s">
        <v>135</v>
      </c>
      <c r="B59" s="7">
        <v>1</v>
      </c>
      <c r="C59" s="7">
        <v>13</v>
      </c>
      <c r="D59" s="8">
        <v>3.6144065994812263E-2</v>
      </c>
      <c r="E59" s="8">
        <f t="shared" si="9"/>
        <v>7.6923076923076927E-2</v>
      </c>
      <c r="F59" s="8">
        <f t="shared" si="3"/>
        <v>0.4698728579325594</v>
      </c>
      <c r="G59" s="8">
        <v>0.5301271420674406</v>
      </c>
      <c r="H59" s="8">
        <f t="shared" si="4"/>
        <v>11.52241918665276</v>
      </c>
      <c r="I59" s="8">
        <f t="shared" si="5"/>
        <v>0.41646707950226841</v>
      </c>
      <c r="J59" s="8">
        <f t="shared" si="6"/>
        <v>24.522419186652762</v>
      </c>
      <c r="K59" s="8">
        <f t="shared" si="7"/>
        <v>0.88633993743482786</v>
      </c>
      <c r="L59">
        <f t="shared" si="2"/>
        <v>1</v>
      </c>
      <c r="M59" s="4" t="s">
        <v>74</v>
      </c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>
        <v>1</v>
      </c>
      <c r="BW59" s="5"/>
      <c r="BX59" s="5"/>
      <c r="BY59" s="5"/>
      <c r="BZ59" s="5">
        <f t="shared" si="8"/>
        <v>0</v>
      </c>
    </row>
    <row r="60" spans="1:78" x14ac:dyDescent="0.55000000000000004">
      <c r="A60" s="10" t="s">
        <v>130</v>
      </c>
      <c r="B60" s="7">
        <v>1</v>
      </c>
      <c r="C60" s="7">
        <v>13</v>
      </c>
      <c r="D60" s="8">
        <v>3.8198115607677961E-3</v>
      </c>
      <c r="E60" s="8">
        <f t="shared" si="9"/>
        <v>7.6923076923076927E-2</v>
      </c>
      <c r="F60" s="8">
        <f t="shared" si="3"/>
        <v>4.9657550289981346E-2</v>
      </c>
      <c r="G60" s="8">
        <v>0.95034244971001858</v>
      </c>
      <c r="H60" s="8">
        <f t="shared" si="4"/>
        <v>0.6792795102089102</v>
      </c>
      <c r="I60" s="8">
        <f t="shared" si="5"/>
        <v>2.5947197260886815E-3</v>
      </c>
      <c r="J60" s="8">
        <f t="shared" si="6"/>
        <v>13.679279510208911</v>
      </c>
      <c r="K60" s="8">
        <f t="shared" si="7"/>
        <v>5.2252270016070031E-2</v>
      </c>
      <c r="L60">
        <f t="shared" si="2"/>
        <v>1</v>
      </c>
      <c r="M60" s="4" t="s">
        <v>75</v>
      </c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>
        <v>1</v>
      </c>
      <c r="BW60" s="5"/>
      <c r="BX60" s="5"/>
      <c r="BY60" s="5"/>
      <c r="BZ60" s="5">
        <f t="shared" si="8"/>
        <v>0</v>
      </c>
    </row>
    <row r="61" spans="1:78" x14ac:dyDescent="0.55000000000000004">
      <c r="A61" s="10" t="s">
        <v>131</v>
      </c>
      <c r="B61" s="7">
        <v>1</v>
      </c>
      <c r="C61" s="7">
        <v>13</v>
      </c>
      <c r="D61" s="8">
        <v>3.6035958120450906E-2</v>
      </c>
      <c r="E61" s="8">
        <f t="shared" si="9"/>
        <v>7.6923076923076927E-2</v>
      </c>
      <c r="F61" s="8">
        <f t="shared" si="3"/>
        <v>0.46846745556586178</v>
      </c>
      <c r="G61" s="8">
        <v>0.53153254443413822</v>
      </c>
      <c r="H61" s="8">
        <f t="shared" si="4"/>
        <v>11.4575805115369</v>
      </c>
      <c r="I61" s="8">
        <f t="shared" si="5"/>
        <v>0.41288489147543822</v>
      </c>
      <c r="J61" s="8">
        <f t="shared" si="6"/>
        <v>24.4575805115369</v>
      </c>
      <c r="K61" s="8">
        <f t="shared" si="7"/>
        <v>0.88135234704129994</v>
      </c>
      <c r="L61">
        <f t="shared" si="2"/>
        <v>1</v>
      </c>
      <c r="M61" s="4" t="s">
        <v>76</v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>
        <v>0.76590000000000003</v>
      </c>
      <c r="BX61" s="5">
        <v>0.108</v>
      </c>
      <c r="BY61" s="5">
        <v>0.12609999999999999</v>
      </c>
      <c r="BZ61" s="5">
        <f t="shared" si="8"/>
        <v>0</v>
      </c>
    </row>
    <row r="62" spans="1:78" x14ac:dyDescent="0.55000000000000004">
      <c r="A62" s="10" t="s">
        <v>132</v>
      </c>
      <c r="B62" s="7">
        <v>1</v>
      </c>
      <c r="C62" s="7">
        <v>13</v>
      </c>
      <c r="D62" s="8">
        <v>2.338733682017264E-2</v>
      </c>
      <c r="E62" s="8">
        <f t="shared" si="9"/>
        <v>7.6923076923076927E-2</v>
      </c>
      <c r="F62" s="8">
        <f t="shared" si="3"/>
        <v>0.30403537866224428</v>
      </c>
      <c r="G62" s="8">
        <v>0.69596462133775572</v>
      </c>
      <c r="H62" s="8">
        <f t="shared" si="4"/>
        <v>5.6791104050833985</v>
      </c>
      <c r="I62" s="8">
        <f t="shared" si="5"/>
        <v>0.13281926788263251</v>
      </c>
      <c r="J62" s="8">
        <f t="shared" si="6"/>
        <v>18.679110405083399</v>
      </c>
      <c r="K62" s="8">
        <f t="shared" si="7"/>
        <v>0.43685464654487688</v>
      </c>
      <c r="L62">
        <f t="shared" si="2"/>
        <v>1</v>
      </c>
      <c r="M62" s="4" t="s">
        <v>80</v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>
        <v>0.76590000000000003</v>
      </c>
      <c r="BX62" s="5">
        <v>0.108</v>
      </c>
      <c r="BY62" s="5">
        <v>0.12609999999999999</v>
      </c>
      <c r="BZ62" s="5">
        <f t="shared" si="8"/>
        <v>0</v>
      </c>
    </row>
    <row r="63" spans="1:78" x14ac:dyDescent="0.55000000000000004">
      <c r="A63" s="10" t="s">
        <v>133</v>
      </c>
      <c r="B63" s="7">
        <v>1</v>
      </c>
      <c r="C63" s="7">
        <v>13</v>
      </c>
      <c r="D63" s="8">
        <v>1.5711677740516593E-2</v>
      </c>
      <c r="E63" s="8">
        <f t="shared" si="9"/>
        <v>7.6923076923076927E-2</v>
      </c>
      <c r="F63" s="8">
        <f t="shared" si="3"/>
        <v>0.20425181062671569</v>
      </c>
      <c r="G63" s="8">
        <v>0.79574818937328429</v>
      </c>
      <c r="H63" s="8">
        <f t="shared" si="4"/>
        <v>3.3368263649315306</v>
      </c>
      <c r="I63" s="8">
        <f t="shared" si="5"/>
        <v>5.2427140521863626E-2</v>
      </c>
      <c r="J63" s="8">
        <f t="shared" si="6"/>
        <v>16.336826364931532</v>
      </c>
      <c r="K63" s="8">
        <f t="shared" si="7"/>
        <v>0.25667895114857936</v>
      </c>
      <c r="L63">
        <f t="shared" si="2"/>
        <v>1</v>
      </c>
      <c r="M63" s="4" t="s">
        <v>81</v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>
        <v>0.76590000000000003</v>
      </c>
      <c r="BX63" s="5">
        <v>0.108</v>
      </c>
      <c r="BY63" s="5">
        <v>0.12609999999999999</v>
      </c>
      <c r="BZ63" s="5">
        <f t="shared" si="8"/>
        <v>0</v>
      </c>
    </row>
    <row r="64" spans="1:78" x14ac:dyDescent="0.55000000000000004">
      <c r="A64" s="10" t="s">
        <v>134</v>
      </c>
      <c r="B64" s="7">
        <v>1</v>
      </c>
      <c r="C64" s="7">
        <v>13</v>
      </c>
      <c r="D64" s="8">
        <v>1.0414391896810314E-2</v>
      </c>
      <c r="E64" s="8">
        <f t="shared" si="9"/>
        <v>7.6923076923076927E-2</v>
      </c>
      <c r="F64" s="8">
        <f t="shared" si="3"/>
        <v>0.13538709465853407</v>
      </c>
      <c r="G64" s="8">
        <v>0.86461290534146584</v>
      </c>
      <c r="H64" s="8">
        <f t="shared" si="4"/>
        <v>2.0356303030959779</v>
      </c>
      <c r="I64" s="8">
        <f t="shared" si="5"/>
        <v>2.1199851733464278E-2</v>
      </c>
      <c r="J64" s="8">
        <f t="shared" si="6"/>
        <v>15.035630303095978</v>
      </c>
      <c r="K64" s="8">
        <f t="shared" si="7"/>
        <v>0.15658694639199836</v>
      </c>
      <c r="L64">
        <f t="shared" si="2"/>
        <v>1</v>
      </c>
      <c r="M64" s="4" t="s">
        <v>82</v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>
        <f t="shared" si="8"/>
        <v>1</v>
      </c>
    </row>
    <row r="65" spans="1:78" x14ac:dyDescent="0.55000000000000004">
      <c r="A65" s="10" t="s">
        <v>76</v>
      </c>
      <c r="B65" s="7">
        <v>1</v>
      </c>
      <c r="C65" s="7">
        <v>2</v>
      </c>
      <c r="D65" s="8">
        <f>+SUM(D11:D28)</f>
        <v>0.49538631628183877</v>
      </c>
      <c r="E65" s="8">
        <f t="shared" si="9"/>
        <v>0.5</v>
      </c>
      <c r="F65" s="8">
        <f t="shared" si="3"/>
        <v>0.99077263256367754</v>
      </c>
      <c r="G65" s="8">
        <v>9.2273674363224645E-3</v>
      </c>
      <c r="H65" s="8">
        <f t="shared" si="4"/>
        <v>214.74654377880645</v>
      </c>
      <c r="I65" s="8">
        <f t="shared" si="5"/>
        <v>106.38249925683955</v>
      </c>
      <c r="J65" s="8">
        <f t="shared" si="6"/>
        <v>216.74654377880645</v>
      </c>
      <c r="K65" s="8">
        <f t="shared" si="7"/>
        <v>107.37327188940323</v>
      </c>
      <c r="L65">
        <f t="shared" si="2"/>
        <v>1</v>
      </c>
      <c r="M65" s="4" t="s">
        <v>83</v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>
        <f t="shared" si="8"/>
        <v>1</v>
      </c>
    </row>
    <row r="66" spans="1:78" x14ac:dyDescent="0.55000000000000004">
      <c r="A66" s="10" t="s">
        <v>80</v>
      </c>
      <c r="B66" s="7">
        <v>1</v>
      </c>
      <c r="C66" s="7">
        <v>2</v>
      </c>
      <c r="D66" s="8">
        <f>+SUM(D29:D46)</f>
        <v>0.38601718338627017</v>
      </c>
      <c r="E66" s="8">
        <f t="shared" si="9"/>
        <v>0.5</v>
      </c>
      <c r="F66" s="8">
        <f t="shared" si="3"/>
        <v>0.77203436677254034</v>
      </c>
      <c r="G66" s="8">
        <v>0.22796563322745966</v>
      </c>
      <c r="H66" s="8">
        <f t="shared" si="4"/>
        <v>6.7732522296658599</v>
      </c>
      <c r="I66" s="8">
        <f t="shared" si="5"/>
        <v>2.6145917480603895</v>
      </c>
      <c r="J66" s="8">
        <f t="shared" si="6"/>
        <v>8.7732522296658608</v>
      </c>
      <c r="K66" s="8">
        <f t="shared" si="7"/>
        <v>3.3866261148329304</v>
      </c>
      <c r="L66">
        <f t="shared" si="2"/>
        <v>1</v>
      </c>
      <c r="M66" s="4" t="s">
        <v>3</v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>
        <f t="shared" si="8"/>
        <v>1</v>
      </c>
    </row>
    <row r="67" spans="1:78" x14ac:dyDescent="0.55000000000000004">
      <c r="A67" s="10" t="s">
        <v>81</v>
      </c>
      <c r="B67" s="7">
        <v>1</v>
      </c>
      <c r="C67" s="7">
        <v>2</v>
      </c>
      <c r="D67" s="8">
        <f>+SUM(D47:D64)</f>
        <v>0.40064778238317311</v>
      </c>
      <c r="E67" s="8">
        <f t="shared" si="9"/>
        <v>0.5</v>
      </c>
      <c r="F67" s="8">
        <f t="shared" si="3"/>
        <v>0.80129556476634622</v>
      </c>
      <c r="G67" s="8">
        <v>0.19870443523365378</v>
      </c>
      <c r="H67" s="8">
        <f t="shared" si="4"/>
        <v>8.0652005962938258</v>
      </c>
      <c r="I67" s="8">
        <f t="shared" si="5"/>
        <v>3.2313047333805667</v>
      </c>
      <c r="J67" s="8">
        <f t="shared" si="6"/>
        <v>10.065200596293826</v>
      </c>
      <c r="K67" s="8">
        <f t="shared" si="7"/>
        <v>4.0326002981469129</v>
      </c>
      <c r="L67">
        <f t="shared" si="2"/>
        <v>1</v>
      </c>
      <c r="M67" s="4" t="s">
        <v>11</v>
      </c>
      <c r="N67" s="5">
        <v>0.8</v>
      </c>
      <c r="O67" s="5">
        <v>0.2</v>
      </c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>
        <f t="shared" ref="BZ67" si="10">1-(SUM(N67:BY67))</f>
        <v>0</v>
      </c>
    </row>
    <row r="68" spans="1:78" x14ac:dyDescent="0.55000000000000004">
      <c r="A68" s="10" t="s">
        <v>82</v>
      </c>
      <c r="B68" s="7">
        <v>6</v>
      </c>
      <c r="C68" s="7">
        <v>6</v>
      </c>
      <c r="D68" s="8">
        <f t="array" ref="D68:D70">+MMULT(TRANSPOSE($BW$61:$BY$63),D65:D67)</f>
        <v>0.98192307692307701</v>
      </c>
      <c r="E68" s="8">
        <f t="shared" si="9"/>
        <v>0.16666666666666666</v>
      </c>
      <c r="F68" s="8">
        <f t="shared" si="3"/>
        <v>0.98192307692307701</v>
      </c>
      <c r="G68" s="8">
        <v>2.9579548027540382E-4</v>
      </c>
      <c r="H68" s="8">
        <f t="shared" si="4"/>
        <v>52.575367936474052</v>
      </c>
      <c r="I68" s="8">
        <f t="shared" si="5"/>
        <v>51.624967054545486</v>
      </c>
      <c r="J68" s="8">
        <f t="shared" si="6"/>
        <v>58.575367936474052</v>
      </c>
      <c r="K68" s="8">
        <f t="shared" si="7"/>
        <v>57.516505516083946</v>
      </c>
      <c r="L68">
        <f t="shared" si="2"/>
        <v>6</v>
      </c>
    </row>
    <row r="69" spans="1:78" x14ac:dyDescent="0.55000000000000004">
      <c r="A69" s="10" t="s">
        <v>83</v>
      </c>
      <c r="B69" s="7">
        <v>1</v>
      </c>
      <c r="C69" s="7">
        <v>6</v>
      </c>
      <c r="D69" s="8">
        <v>0.13846153846153844</v>
      </c>
      <c r="E69" s="8">
        <f t="shared" si="9"/>
        <v>0.16666666666666666</v>
      </c>
      <c r="F69" s="8">
        <f t="shared" si="3"/>
        <v>0.8307692307692307</v>
      </c>
      <c r="G69" s="8">
        <v>0.1692307692307693</v>
      </c>
      <c r="H69" s="8">
        <f t="shared" si="4"/>
        <v>29.454545454545443</v>
      </c>
      <c r="I69" s="8">
        <f t="shared" si="5"/>
        <v>4.078321678321676</v>
      </c>
      <c r="J69" s="8">
        <f t="shared" si="6"/>
        <v>35.454545454545439</v>
      </c>
      <c r="K69" s="8">
        <f t="shared" si="7"/>
        <v>4.9090909090909065</v>
      </c>
      <c r="L69">
        <f t="shared" si="2"/>
        <v>1</v>
      </c>
    </row>
    <row r="70" spans="1:78" x14ac:dyDescent="0.55000000000000004">
      <c r="A70" s="10" t="s">
        <v>3</v>
      </c>
      <c r="B70" s="7">
        <v>1</v>
      </c>
      <c r="C70" s="7">
        <v>5</v>
      </c>
      <c r="D70" s="8">
        <v>0.16166666666666665</v>
      </c>
      <c r="E70" s="8">
        <f t="shared" si="9"/>
        <v>0.2</v>
      </c>
      <c r="F70" s="8">
        <f t="shared" si="3"/>
        <v>0.80833333333333324</v>
      </c>
      <c r="G70" s="8">
        <v>0.19166666666666676</v>
      </c>
      <c r="H70" s="8">
        <f t="shared" si="4"/>
        <v>21.086956521739118</v>
      </c>
      <c r="I70" s="8">
        <f t="shared" si="5"/>
        <v>3.4090579710144904</v>
      </c>
      <c r="J70" s="8">
        <f t="shared" si="6"/>
        <v>26.086956521739118</v>
      </c>
      <c r="K70" s="8">
        <f t="shared" si="7"/>
        <v>4.2173913043478235</v>
      </c>
      <c r="L70">
        <f t="shared" si="2"/>
        <v>1</v>
      </c>
    </row>
    <row r="73" spans="1:78" ht="14.7" thickBot="1" x14ac:dyDescent="0.6"/>
    <row r="74" spans="1:78" ht="14.7" thickBot="1" x14ac:dyDescent="0.6">
      <c r="A74" s="46" t="s">
        <v>144</v>
      </c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8"/>
    </row>
    <row r="75" spans="1:78" x14ac:dyDescent="0.55000000000000004">
      <c r="A75" s="15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7"/>
      <c r="N75" s="16"/>
      <c r="O75" s="16"/>
      <c r="P75" s="16"/>
      <c r="Q75" s="16"/>
      <c r="R75" s="16"/>
      <c r="S75" s="16"/>
      <c r="T75" s="18"/>
      <c r="U75" s="1"/>
    </row>
    <row r="76" spans="1:78" x14ac:dyDescent="0.55000000000000004">
      <c r="A76" s="15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7"/>
      <c r="N76" s="16"/>
      <c r="O76" s="16"/>
      <c r="P76" s="16"/>
      <c r="Q76" s="16"/>
      <c r="R76" s="16"/>
      <c r="S76" s="16"/>
      <c r="T76" s="18"/>
      <c r="U76" s="1"/>
    </row>
    <row r="77" spans="1:78" x14ac:dyDescent="0.55000000000000004">
      <c r="A77" s="15"/>
      <c r="B77" s="16"/>
      <c r="C77" s="16"/>
      <c r="D77" s="16"/>
      <c r="E77" s="16"/>
      <c r="F77" s="16" t="s">
        <v>143</v>
      </c>
      <c r="G77" s="16"/>
      <c r="H77" s="16" t="s">
        <v>141</v>
      </c>
      <c r="I77" s="19" t="s">
        <v>142</v>
      </c>
      <c r="J77" s="19"/>
      <c r="K77" s="16"/>
      <c r="L77" s="16"/>
      <c r="M77" s="16"/>
      <c r="N77" s="16"/>
      <c r="O77" s="17"/>
      <c r="P77" s="16"/>
      <c r="Q77" s="16"/>
      <c r="R77" s="16"/>
      <c r="S77" s="16"/>
      <c r="T77" s="18"/>
      <c r="U77" s="1"/>
    </row>
    <row r="78" spans="1:78" x14ac:dyDescent="0.55000000000000004">
      <c r="A78" s="15"/>
      <c r="B78" s="16"/>
      <c r="C78" s="16"/>
      <c r="D78" s="16"/>
      <c r="E78" s="16"/>
      <c r="F78" s="20">
        <f t="array" ref="F78:F131">TRANSPOSE(R5:BS5)</f>
        <v>1.8804283666413693E-2</v>
      </c>
      <c r="G78" s="16"/>
      <c r="H78" s="16">
        <f>+B11</f>
        <v>1</v>
      </c>
      <c r="I78" s="21">
        <f>+E11</f>
        <v>7.6923076923076927E-2</v>
      </c>
      <c r="J78" s="21"/>
      <c r="K78" s="16"/>
      <c r="L78" s="16"/>
      <c r="M78" s="16"/>
      <c r="N78" s="16"/>
      <c r="O78" s="17"/>
      <c r="P78" s="16"/>
      <c r="Q78" s="16"/>
      <c r="R78" s="16"/>
      <c r="S78" s="16"/>
      <c r="T78" s="18"/>
      <c r="U78" s="1"/>
    </row>
    <row r="79" spans="1:78" x14ac:dyDescent="0.55000000000000004">
      <c r="A79" s="15"/>
      <c r="B79" s="16"/>
      <c r="C79" s="16"/>
      <c r="D79" s="16"/>
      <c r="E79" s="16"/>
      <c r="F79" s="20">
        <v>2.7264805913933158E-2</v>
      </c>
      <c r="G79" s="16"/>
      <c r="H79" s="16">
        <f t="shared" ref="H79:H131" si="11">+B12</f>
        <v>1</v>
      </c>
      <c r="I79" s="21">
        <f t="shared" ref="I79:I131" si="12">+E12</f>
        <v>7.6923076923076927E-2</v>
      </c>
      <c r="J79" s="21"/>
      <c r="K79" s="16"/>
      <c r="L79" s="16"/>
      <c r="M79" s="16"/>
      <c r="N79" s="16"/>
      <c r="O79" s="17"/>
      <c r="P79" s="16"/>
      <c r="Q79" s="16"/>
      <c r="R79" s="16"/>
      <c r="S79" s="16"/>
      <c r="T79" s="18"/>
      <c r="U79" s="1"/>
    </row>
    <row r="80" spans="1:78" x14ac:dyDescent="0.55000000000000004">
      <c r="A80" s="15"/>
      <c r="B80" s="16"/>
      <c r="C80" s="16"/>
      <c r="D80" s="16"/>
      <c r="E80" s="16"/>
      <c r="F80" s="20">
        <v>3.6259381060797707E-2</v>
      </c>
      <c r="G80" s="16"/>
      <c r="H80" s="16">
        <f t="shared" si="11"/>
        <v>1</v>
      </c>
      <c r="I80" s="21">
        <f t="shared" si="12"/>
        <v>7.6923076923076927E-2</v>
      </c>
      <c r="J80" s="21"/>
      <c r="K80" s="16"/>
      <c r="L80" s="16"/>
      <c r="M80" s="16"/>
      <c r="N80" s="16"/>
      <c r="O80" s="17"/>
      <c r="P80" s="16"/>
      <c r="Q80" s="16"/>
      <c r="R80" s="16"/>
      <c r="S80" s="16"/>
      <c r="T80" s="18"/>
      <c r="U80" s="1"/>
    </row>
    <row r="81" spans="1:21" x14ac:dyDescent="0.55000000000000004">
      <c r="A81" s="15"/>
      <c r="B81" s="16"/>
      <c r="C81" s="16"/>
      <c r="D81" s="16"/>
      <c r="E81" s="16"/>
      <c r="F81" s="20">
        <v>3.1705877392697528E-2</v>
      </c>
      <c r="G81" s="16"/>
      <c r="H81" s="16">
        <f t="shared" si="11"/>
        <v>1</v>
      </c>
      <c r="I81" s="21">
        <f t="shared" si="12"/>
        <v>7.6923076923076927E-2</v>
      </c>
      <c r="J81" s="21"/>
      <c r="K81" s="16"/>
      <c r="L81" s="16"/>
      <c r="M81" s="16"/>
      <c r="N81" s="16"/>
      <c r="O81" s="17"/>
      <c r="P81" s="16"/>
      <c r="Q81" s="16"/>
      <c r="R81" s="16"/>
      <c r="S81" s="16"/>
      <c r="T81" s="18"/>
      <c r="U81" s="1"/>
    </row>
    <row r="82" spans="1:21" x14ac:dyDescent="0.55000000000000004">
      <c r="A82" s="15"/>
      <c r="B82" s="16"/>
      <c r="C82" s="16"/>
      <c r="D82" s="16"/>
      <c r="E82" s="16"/>
      <c r="F82" s="20">
        <v>3.0862635972678978E-2</v>
      </c>
      <c r="G82" s="16"/>
      <c r="H82" s="16">
        <f t="shared" si="11"/>
        <v>1</v>
      </c>
      <c r="I82" s="21">
        <f t="shared" si="12"/>
        <v>7.6923076923076927E-2</v>
      </c>
      <c r="J82" s="21"/>
      <c r="K82" s="16"/>
      <c r="L82" s="16" t="str">
        <f>"n="&amp;B65</f>
        <v>n=1</v>
      </c>
      <c r="M82" s="16"/>
      <c r="N82" s="16"/>
      <c r="O82" s="17"/>
      <c r="P82" s="16"/>
      <c r="Q82" s="16"/>
      <c r="R82" s="16"/>
      <c r="S82" s="16"/>
      <c r="T82" s="18"/>
      <c r="U82" s="1"/>
    </row>
    <row r="83" spans="1:21" x14ac:dyDescent="0.55000000000000004">
      <c r="A83" s="15"/>
      <c r="B83" s="16"/>
      <c r="C83" s="16"/>
      <c r="D83" s="16"/>
      <c r="E83" s="16"/>
      <c r="F83" s="20">
        <v>1.5571858223009247E-2</v>
      </c>
      <c r="G83" s="16"/>
      <c r="H83" s="16">
        <f t="shared" si="11"/>
        <v>1</v>
      </c>
      <c r="I83" s="21">
        <f t="shared" si="12"/>
        <v>7.6923076923076927E-2</v>
      </c>
      <c r="J83" s="21"/>
      <c r="K83" s="16"/>
      <c r="L83" s="19" t="str">
        <f>"μ="&amp;ROUND(E65,3)</f>
        <v>μ=0.5</v>
      </c>
      <c r="M83" s="16"/>
      <c r="N83" s="16"/>
      <c r="O83" s="17"/>
      <c r="P83" s="16"/>
      <c r="Q83" s="16"/>
      <c r="R83" s="16"/>
      <c r="S83" s="16"/>
      <c r="T83" s="18"/>
      <c r="U83" s="1"/>
    </row>
    <row r="84" spans="1:21" x14ac:dyDescent="0.55000000000000004">
      <c r="A84" s="15"/>
      <c r="B84" s="16"/>
      <c r="C84" s="16"/>
      <c r="D84" s="16"/>
      <c r="E84" s="16"/>
      <c r="F84" s="20">
        <v>2.6252916209910899E-2</v>
      </c>
      <c r="G84" s="16"/>
      <c r="H84" s="16">
        <f t="shared" si="11"/>
        <v>1</v>
      </c>
      <c r="I84" s="21">
        <f t="shared" si="12"/>
        <v>7.6923076923076927E-2</v>
      </c>
      <c r="J84" s="21"/>
      <c r="K84" s="16"/>
      <c r="L84" s="16"/>
      <c r="M84" s="16"/>
      <c r="N84" s="16"/>
      <c r="O84" s="17"/>
      <c r="P84" s="16"/>
      <c r="Q84" s="16"/>
      <c r="R84" s="16"/>
      <c r="S84" s="16"/>
      <c r="T84" s="18"/>
      <c r="U84" s="1"/>
    </row>
    <row r="85" spans="1:21" x14ac:dyDescent="0.55000000000000004">
      <c r="A85" s="15"/>
      <c r="B85" s="16"/>
      <c r="C85" s="16"/>
      <c r="D85" s="16"/>
      <c r="E85" s="16"/>
      <c r="F85" s="20">
        <v>8.5448463895213198E-3</v>
      </c>
      <c r="G85" s="16"/>
      <c r="H85" s="16">
        <f t="shared" si="11"/>
        <v>1</v>
      </c>
      <c r="I85" s="21">
        <f t="shared" si="12"/>
        <v>7.6923076923076927E-2</v>
      </c>
      <c r="J85" s="21"/>
      <c r="K85" s="16"/>
      <c r="L85" s="16"/>
      <c r="M85" s="16"/>
      <c r="N85" s="16"/>
      <c r="O85" s="17"/>
      <c r="P85" s="16"/>
      <c r="Q85" s="16"/>
      <c r="R85" s="16"/>
      <c r="S85" s="16"/>
      <c r="T85" s="18"/>
      <c r="U85" s="1"/>
    </row>
    <row r="86" spans="1:21" x14ac:dyDescent="0.55000000000000004">
      <c r="A86" s="15"/>
      <c r="B86" s="16"/>
      <c r="C86" s="16"/>
      <c r="D86" s="16"/>
      <c r="E86" s="16"/>
      <c r="F86" s="20">
        <v>1.051240970289794E-2</v>
      </c>
      <c r="G86" s="16"/>
      <c r="H86" s="16">
        <f t="shared" si="11"/>
        <v>1</v>
      </c>
      <c r="I86" s="21">
        <f t="shared" si="12"/>
        <v>7.6923076923076927E-2</v>
      </c>
      <c r="J86" s="21"/>
      <c r="K86" s="16"/>
      <c r="L86" s="16"/>
      <c r="M86" s="16"/>
      <c r="N86" s="16"/>
      <c r="O86" s="17"/>
      <c r="P86" s="16"/>
      <c r="Q86" s="16"/>
      <c r="R86" s="16"/>
      <c r="S86" s="16"/>
      <c r="T86" s="18"/>
      <c r="U86" s="1"/>
    </row>
    <row r="87" spans="1:21" x14ac:dyDescent="0.55000000000000004">
      <c r="A87" s="15"/>
      <c r="B87" s="16"/>
      <c r="C87" s="16"/>
      <c r="D87" s="16"/>
      <c r="E87" s="16"/>
      <c r="F87" s="20">
        <v>1.4841048992326503E-2</v>
      </c>
      <c r="G87" s="16"/>
      <c r="H87" s="16">
        <f t="shared" si="11"/>
        <v>1</v>
      </c>
      <c r="I87" s="21">
        <f t="shared" si="12"/>
        <v>7.6923076923076927E-2</v>
      </c>
      <c r="J87" s="21"/>
      <c r="K87" s="16"/>
      <c r="L87" s="16"/>
      <c r="M87" s="16"/>
      <c r="N87" s="16"/>
      <c r="O87" s="17"/>
      <c r="P87" s="16"/>
      <c r="Q87" s="16"/>
      <c r="R87" s="16"/>
      <c r="S87" s="16"/>
      <c r="T87" s="18"/>
      <c r="U87" s="1"/>
    </row>
    <row r="88" spans="1:21" x14ac:dyDescent="0.55000000000000004">
      <c r="A88" s="15"/>
      <c r="B88" s="16"/>
      <c r="C88" s="16"/>
      <c r="D88" s="16"/>
      <c r="E88" s="16"/>
      <c r="F88" s="20">
        <v>1.6696180116367317E-2</v>
      </c>
      <c r="G88" s="16"/>
      <c r="H88" s="16">
        <f t="shared" si="11"/>
        <v>1</v>
      </c>
      <c r="I88" s="21">
        <f t="shared" si="12"/>
        <v>7.6923076923076927E-2</v>
      </c>
      <c r="J88" s="21"/>
      <c r="K88" s="16"/>
      <c r="L88" s="16"/>
      <c r="M88" s="22" t="str">
        <f>"p="&amp;ROUND(BW61,3)</f>
        <v>p=0.766</v>
      </c>
      <c r="N88" s="16"/>
      <c r="O88" s="17"/>
      <c r="P88" s="16"/>
      <c r="Q88" s="16"/>
      <c r="R88" s="16"/>
      <c r="S88" s="16"/>
      <c r="T88" s="18"/>
      <c r="U88" s="1"/>
    </row>
    <row r="89" spans="1:21" x14ac:dyDescent="0.55000000000000004">
      <c r="A89" s="15"/>
      <c r="B89" s="16"/>
      <c r="C89" s="16"/>
      <c r="D89" s="16"/>
      <c r="E89" s="16"/>
      <c r="F89" s="20">
        <v>1.034376141889423E-2</v>
      </c>
      <c r="G89" s="16"/>
      <c r="H89" s="16">
        <f t="shared" si="11"/>
        <v>1</v>
      </c>
      <c r="I89" s="21">
        <f t="shared" si="12"/>
        <v>7.6923076923076927E-2</v>
      </c>
      <c r="J89" s="21"/>
      <c r="K89" s="16"/>
      <c r="L89" s="16"/>
      <c r="M89" s="23"/>
      <c r="N89" s="16"/>
      <c r="O89" s="17"/>
      <c r="P89" s="16"/>
      <c r="Q89" s="16"/>
      <c r="R89" s="16"/>
      <c r="S89" s="16"/>
      <c r="T89" s="18"/>
      <c r="U89" s="1"/>
    </row>
    <row r="90" spans="1:21" x14ac:dyDescent="0.55000000000000004">
      <c r="A90" s="15"/>
      <c r="B90" s="16"/>
      <c r="C90" s="16" t="str">
        <f>"n="&amp;B7</f>
        <v>n=4</v>
      </c>
      <c r="D90" s="16" t="str">
        <f>"n="&amp;C7</f>
        <v>n=3.5</v>
      </c>
      <c r="E90" s="16"/>
      <c r="F90" s="20">
        <v>2.8304803665289372E-2</v>
      </c>
      <c r="G90" s="16"/>
      <c r="H90" s="16">
        <f t="shared" si="11"/>
        <v>1</v>
      </c>
      <c r="I90" s="21">
        <f t="shared" si="12"/>
        <v>7.6923076923076927E-2</v>
      </c>
      <c r="J90" s="21"/>
      <c r="K90" s="16"/>
      <c r="L90" s="16"/>
      <c r="M90" s="23"/>
      <c r="N90" s="16"/>
      <c r="O90" s="17"/>
      <c r="P90" s="16"/>
      <c r="Q90" s="16"/>
      <c r="R90" s="16"/>
      <c r="S90" s="16"/>
      <c r="T90" s="18"/>
      <c r="U90" s="1"/>
    </row>
    <row r="91" spans="1:21" x14ac:dyDescent="0.55000000000000004">
      <c r="A91" s="15"/>
      <c r="B91" s="16"/>
      <c r="C91" s="19" t="str">
        <f>"μ="&amp;ROUND(E7,3)</f>
        <v>μ=0.286</v>
      </c>
      <c r="D91" s="19" t="str">
        <f>"μ="&amp;ROUND(F7,3)</f>
        <v>μ=0.897</v>
      </c>
      <c r="E91" s="16"/>
      <c r="F91" s="20">
        <v>3.6540461534137224E-2</v>
      </c>
      <c r="G91" s="16"/>
      <c r="H91" s="16">
        <f t="shared" si="11"/>
        <v>1</v>
      </c>
      <c r="I91" s="21">
        <f t="shared" si="12"/>
        <v>7.6923076923076927E-2</v>
      </c>
      <c r="J91" s="21"/>
      <c r="K91" s="16"/>
      <c r="L91" s="16"/>
      <c r="M91" s="16" t="str">
        <f>"p="&amp;ROUND(BX61,3)</f>
        <v>p=0.108</v>
      </c>
      <c r="N91" s="16"/>
      <c r="O91" s="17"/>
      <c r="P91" s="16"/>
      <c r="Q91" s="16"/>
      <c r="R91" s="16"/>
      <c r="S91" s="16"/>
      <c r="T91" s="18"/>
      <c r="U91" s="1"/>
    </row>
    <row r="92" spans="1:21" x14ac:dyDescent="0.55000000000000004">
      <c r="A92" s="15"/>
      <c r="B92" s="16"/>
      <c r="C92" s="16"/>
      <c r="D92" s="16"/>
      <c r="E92" s="16"/>
      <c r="F92" s="20">
        <v>6.8583635494842169E-3</v>
      </c>
      <c r="G92" s="16"/>
      <c r="H92" s="16">
        <f t="shared" si="11"/>
        <v>1</v>
      </c>
      <c r="I92" s="21">
        <f t="shared" si="12"/>
        <v>7.6923076923076927E-2</v>
      </c>
      <c r="J92" s="21"/>
      <c r="K92" s="16"/>
      <c r="L92" s="16"/>
      <c r="M92" s="16"/>
      <c r="N92" s="16"/>
      <c r="O92" s="17"/>
      <c r="P92" s="16"/>
      <c r="Q92" s="16"/>
      <c r="R92" s="16"/>
      <c r="S92" s="16"/>
      <c r="T92" s="18"/>
      <c r="U92" s="1"/>
    </row>
    <row r="93" spans="1:21" x14ac:dyDescent="0.55000000000000004">
      <c r="A93" s="15"/>
      <c r="B93" s="16"/>
      <c r="C93" s="16"/>
      <c r="D93" s="16"/>
      <c r="E93" s="16"/>
      <c r="F93" s="20">
        <v>1.1917812069595525E-2</v>
      </c>
      <c r="G93" s="16"/>
      <c r="H93" s="16">
        <f t="shared" si="11"/>
        <v>1</v>
      </c>
      <c r="I93" s="21">
        <f t="shared" si="12"/>
        <v>7.6923076923076927E-2</v>
      </c>
      <c r="J93" s="21"/>
      <c r="K93" s="16"/>
      <c r="L93" s="16"/>
      <c r="M93" s="23"/>
      <c r="N93" s="16"/>
      <c r="O93" s="49" t="str">
        <f>"n="&amp;B68</f>
        <v>n=6</v>
      </c>
      <c r="P93" s="49"/>
      <c r="Q93" s="49"/>
      <c r="R93" s="16"/>
      <c r="S93" s="16"/>
      <c r="T93" s="18"/>
      <c r="U93" s="1"/>
    </row>
    <row r="94" spans="1:21" x14ac:dyDescent="0.55000000000000004">
      <c r="A94" s="15"/>
      <c r="B94" s="16"/>
      <c r="C94" s="16"/>
      <c r="D94" s="16"/>
      <c r="E94" s="16"/>
      <c r="F94" s="20">
        <v>2.1896168873148384E-2</v>
      </c>
      <c r="G94" s="16"/>
      <c r="H94" s="16">
        <f t="shared" si="11"/>
        <v>1</v>
      </c>
      <c r="I94" s="21">
        <f t="shared" si="12"/>
        <v>7.6923076923076927E-2</v>
      </c>
      <c r="J94" s="21"/>
      <c r="K94" s="16"/>
      <c r="L94" s="16"/>
      <c r="M94" s="25" t="str">
        <f>"p="&amp;ROUND(BY61,3)</f>
        <v>p=0.126</v>
      </c>
      <c r="N94" s="16"/>
      <c r="O94" s="45" t="str">
        <f>"μ="&amp;ROUND(E68,3)</f>
        <v>μ=0.167</v>
      </c>
      <c r="P94" s="45"/>
      <c r="Q94" s="45"/>
      <c r="R94" s="16"/>
      <c r="S94" s="16"/>
      <c r="T94" s="18"/>
      <c r="U94" s="1"/>
    </row>
    <row r="95" spans="1:21" x14ac:dyDescent="0.55000000000000004">
      <c r="A95" s="15"/>
      <c r="B95" s="16"/>
      <c r="C95" s="16"/>
      <c r="D95" s="16"/>
      <c r="E95" s="16"/>
      <c r="F95" s="20">
        <v>3.3223711948730923E-2</v>
      </c>
      <c r="G95" s="16"/>
      <c r="H95" s="16">
        <f t="shared" si="11"/>
        <v>1</v>
      </c>
      <c r="I95" s="21">
        <f t="shared" si="12"/>
        <v>7.6923076923076927E-2</v>
      </c>
      <c r="J95" s="21"/>
      <c r="K95" s="16"/>
      <c r="L95" s="16"/>
      <c r="M95" s="16"/>
      <c r="N95" s="16"/>
      <c r="O95" s="17"/>
      <c r="P95" s="16"/>
      <c r="Q95" s="16"/>
      <c r="R95" s="16"/>
      <c r="S95" s="16"/>
      <c r="T95" s="18"/>
      <c r="U95" s="1"/>
    </row>
    <row r="96" spans="1:21" x14ac:dyDescent="0.55000000000000004">
      <c r="A96" s="15"/>
      <c r="B96" s="16" t="str">
        <f>"p="&amp;N67</f>
        <v>p=0.8</v>
      </c>
      <c r="C96" s="16"/>
      <c r="D96" s="16"/>
      <c r="E96" s="16"/>
      <c r="F96" s="20">
        <v>1.2845377631615931E-2</v>
      </c>
      <c r="G96" s="16"/>
      <c r="H96" s="16">
        <f t="shared" si="11"/>
        <v>1</v>
      </c>
      <c r="I96" s="21">
        <f t="shared" si="12"/>
        <v>7.6923076923076927E-2</v>
      </c>
      <c r="J96" s="21"/>
      <c r="K96" s="16"/>
      <c r="L96" s="16"/>
      <c r="M96" s="16"/>
      <c r="N96" s="16"/>
      <c r="O96" s="17"/>
      <c r="P96" s="16"/>
      <c r="Q96" s="16"/>
      <c r="R96" s="16"/>
      <c r="S96" s="16"/>
      <c r="T96" s="18"/>
      <c r="U96" s="1"/>
    </row>
    <row r="97" spans="1:21" x14ac:dyDescent="0.55000000000000004">
      <c r="A97" s="15"/>
      <c r="B97" s="16"/>
      <c r="C97" s="16"/>
      <c r="D97" s="16"/>
      <c r="E97" s="16"/>
      <c r="F97" s="20">
        <v>2.7798858813278243E-2</v>
      </c>
      <c r="G97" s="16"/>
      <c r="H97" s="16">
        <f t="shared" si="11"/>
        <v>1</v>
      </c>
      <c r="I97" s="21">
        <f t="shared" si="12"/>
        <v>7.6923076923076927E-2</v>
      </c>
      <c r="J97" s="21"/>
      <c r="K97" s="16"/>
      <c r="L97" s="16"/>
      <c r="M97" s="16"/>
      <c r="N97" s="16"/>
      <c r="O97" s="17"/>
      <c r="P97" s="16"/>
      <c r="Q97" s="16"/>
      <c r="R97" s="16"/>
      <c r="S97" s="16"/>
      <c r="T97" s="18"/>
      <c r="U97" s="1"/>
    </row>
    <row r="98" spans="1:21" x14ac:dyDescent="0.55000000000000004">
      <c r="A98" s="27"/>
      <c r="B98" s="16"/>
      <c r="C98" s="16"/>
      <c r="D98" s="16"/>
      <c r="E98" s="16"/>
      <c r="F98" s="20">
        <v>3.1790201534699386E-2</v>
      </c>
      <c r="G98" s="16"/>
      <c r="H98" s="16">
        <f t="shared" si="11"/>
        <v>1</v>
      </c>
      <c r="I98" s="21">
        <f t="shared" si="12"/>
        <v>7.6923076923076927E-2</v>
      </c>
      <c r="J98" s="21"/>
      <c r="K98" s="16"/>
      <c r="L98" s="16"/>
      <c r="M98" s="16"/>
      <c r="N98" s="16"/>
      <c r="O98" s="17"/>
      <c r="P98" s="16"/>
      <c r="Q98" s="16"/>
      <c r="R98" s="16"/>
      <c r="S98" s="16"/>
      <c r="T98" s="18"/>
      <c r="U98" s="1"/>
    </row>
    <row r="99" spans="1:21" x14ac:dyDescent="0.55000000000000004">
      <c r="A99" s="15" t="str">
        <f>"λ="&amp;ROUND(B3,2)</f>
        <v>λ=1.28</v>
      </c>
      <c r="B99" s="16"/>
      <c r="C99" s="16"/>
      <c r="D99" s="16"/>
      <c r="E99" s="16"/>
      <c r="F99" s="20">
        <v>1.4194563903645614E-2</v>
      </c>
      <c r="G99" s="16"/>
      <c r="H99" s="16">
        <f t="shared" si="11"/>
        <v>1</v>
      </c>
      <c r="I99" s="21">
        <f t="shared" si="12"/>
        <v>7.6923076923076927E-2</v>
      </c>
      <c r="J99" s="21"/>
      <c r="K99" s="16"/>
      <c r="L99" s="16"/>
      <c r="M99" s="16"/>
      <c r="N99" s="16"/>
      <c r="O99" s="17"/>
      <c r="P99" s="16"/>
      <c r="Q99" s="16"/>
      <c r="R99" s="16"/>
      <c r="S99" s="16"/>
      <c r="T99" s="18"/>
      <c r="U99" s="1"/>
    </row>
    <row r="100" spans="1:21" x14ac:dyDescent="0.55000000000000004">
      <c r="A100" s="15"/>
      <c r="B100" s="16"/>
      <c r="C100" s="16"/>
      <c r="D100" s="16"/>
      <c r="E100" s="16"/>
      <c r="F100" s="20">
        <v>2.0799955027124267E-2</v>
      </c>
      <c r="G100" s="16"/>
      <c r="H100" s="16">
        <f t="shared" si="11"/>
        <v>1</v>
      </c>
      <c r="I100" s="21">
        <f t="shared" si="12"/>
        <v>7.6923076923076927E-2</v>
      </c>
      <c r="J100" s="21"/>
      <c r="K100" s="16"/>
      <c r="L100" s="16"/>
      <c r="M100" s="16" t="str">
        <f>"p="&amp;ROUND(BW62,3)</f>
        <v>p=0.766</v>
      </c>
      <c r="N100" s="16"/>
      <c r="O100" s="17"/>
      <c r="P100" s="16"/>
      <c r="Q100" s="16"/>
      <c r="R100" s="16"/>
      <c r="S100" s="16"/>
      <c r="T100" s="18"/>
      <c r="U100" s="1"/>
    </row>
    <row r="101" spans="1:21" x14ac:dyDescent="0.55000000000000004">
      <c r="A101" s="15"/>
      <c r="B101" s="16"/>
      <c r="C101" s="16"/>
      <c r="D101" s="16"/>
      <c r="E101" s="16"/>
      <c r="F101" s="20">
        <v>1.1974028164263429E-2</v>
      </c>
      <c r="G101" s="16"/>
      <c r="H101" s="16">
        <f t="shared" si="11"/>
        <v>1</v>
      </c>
      <c r="I101" s="21">
        <f t="shared" si="12"/>
        <v>7.6923076923076927E-2</v>
      </c>
      <c r="J101" s="21"/>
      <c r="K101" s="16"/>
      <c r="L101" s="16" t="str">
        <f>"n="&amp;B66</f>
        <v>n=1</v>
      </c>
      <c r="M101" s="23"/>
      <c r="N101" s="16"/>
      <c r="O101" s="49" t="str">
        <f>"n="&amp;B69</f>
        <v>n=1</v>
      </c>
      <c r="P101" s="49"/>
      <c r="Q101" s="49"/>
      <c r="R101" s="16"/>
      <c r="S101" s="16"/>
      <c r="T101" s="18"/>
      <c r="U101" s="1"/>
    </row>
    <row r="102" spans="1:21" x14ac:dyDescent="0.55000000000000004">
      <c r="A102" s="15"/>
      <c r="B102" s="16"/>
      <c r="C102" s="16"/>
      <c r="D102" s="16"/>
      <c r="E102" s="16"/>
      <c r="F102" s="20">
        <v>2.6140484020575092E-2</v>
      </c>
      <c r="G102" s="16"/>
      <c r="H102" s="16">
        <f t="shared" si="11"/>
        <v>1</v>
      </c>
      <c r="I102" s="21">
        <f t="shared" si="12"/>
        <v>7.6923076923076927E-2</v>
      </c>
      <c r="J102" s="21"/>
      <c r="K102" s="16"/>
      <c r="L102" s="19" t="str">
        <f>"μ="&amp;ROUND(E66,3)</f>
        <v>μ=0.5</v>
      </c>
      <c r="M102" s="23"/>
      <c r="N102" s="16"/>
      <c r="O102" s="45" t="str">
        <f>"μ="&amp;ROUND(E69,3)</f>
        <v>μ=0.167</v>
      </c>
      <c r="P102" s="45"/>
      <c r="Q102" s="45"/>
      <c r="R102" s="16"/>
      <c r="S102" s="16"/>
      <c r="T102" s="18"/>
      <c r="U102" s="1"/>
    </row>
    <row r="103" spans="1:21" x14ac:dyDescent="0.55000000000000004">
      <c r="A103" s="15"/>
      <c r="B103" s="16"/>
      <c r="C103" s="16"/>
      <c r="D103" s="16"/>
      <c r="E103" s="16"/>
      <c r="F103" s="20">
        <v>1.0287545324226327E-2</v>
      </c>
      <c r="G103" s="16"/>
      <c r="H103" s="16">
        <f t="shared" si="11"/>
        <v>1</v>
      </c>
      <c r="I103" s="21">
        <f t="shared" si="12"/>
        <v>7.6923076923076927E-2</v>
      </c>
      <c r="J103" s="21"/>
      <c r="K103" s="16"/>
      <c r="L103" s="16"/>
      <c r="M103" s="16" t="str">
        <f>"p="&amp;ROUND(BX62,3)</f>
        <v>p=0.108</v>
      </c>
      <c r="N103" s="16"/>
      <c r="O103" s="17"/>
      <c r="P103" s="16"/>
      <c r="Q103" s="16"/>
      <c r="R103" s="16"/>
      <c r="S103" s="16"/>
      <c r="T103" s="18"/>
      <c r="U103" s="1"/>
    </row>
    <row r="104" spans="1:21" x14ac:dyDescent="0.55000000000000004">
      <c r="A104" s="15"/>
      <c r="B104" s="16" t="str">
        <f>"p="&amp;O67</f>
        <v>p=0.2</v>
      </c>
      <c r="C104" s="16"/>
      <c r="D104" s="16"/>
      <c r="E104" s="16"/>
      <c r="F104" s="20">
        <v>9.5848441408775339E-3</v>
      </c>
      <c r="G104" s="16"/>
      <c r="H104" s="16">
        <f t="shared" si="11"/>
        <v>1</v>
      </c>
      <c r="I104" s="21">
        <f t="shared" si="12"/>
        <v>7.6923076923076927E-2</v>
      </c>
      <c r="J104" s="21"/>
      <c r="K104" s="16"/>
      <c r="L104" s="16"/>
      <c r="M104" s="16"/>
      <c r="N104" s="16"/>
      <c r="O104" s="17"/>
      <c r="P104" s="16"/>
      <c r="Q104" s="16"/>
      <c r="R104" s="16"/>
      <c r="S104" s="16"/>
      <c r="T104" s="18"/>
      <c r="U104" s="1"/>
    </row>
    <row r="105" spans="1:21" x14ac:dyDescent="0.55000000000000004">
      <c r="A105" s="15"/>
      <c r="B105" s="16"/>
      <c r="C105" s="16" t="str">
        <f>"n="&amp;B8</f>
        <v>n=1</v>
      </c>
      <c r="D105" s="16" t="str">
        <f>"n="&amp;C22</f>
        <v>n=13</v>
      </c>
      <c r="E105" s="16"/>
      <c r="F105" s="20">
        <v>3.2802091238721645E-2</v>
      </c>
      <c r="G105" s="16"/>
      <c r="H105" s="16">
        <f t="shared" si="11"/>
        <v>1</v>
      </c>
      <c r="I105" s="21">
        <f t="shared" si="12"/>
        <v>7.6923076923076927E-2</v>
      </c>
      <c r="J105" s="21"/>
      <c r="K105" s="16"/>
      <c r="L105" s="16"/>
      <c r="M105" s="16"/>
      <c r="N105" s="16"/>
      <c r="O105" s="17"/>
      <c r="P105" s="16"/>
      <c r="Q105" s="16"/>
      <c r="R105" s="16"/>
      <c r="S105" s="16"/>
      <c r="T105" s="18"/>
      <c r="U105" s="1"/>
    </row>
    <row r="106" spans="1:21" x14ac:dyDescent="0.55000000000000004">
      <c r="A106" s="15"/>
      <c r="B106" s="16"/>
      <c r="C106" s="19" t="str">
        <f>"μ="&amp;ROUND(E22,3)</f>
        <v>μ=0.077</v>
      </c>
      <c r="D106" s="19" t="str">
        <f>"μ="&amp;ROUND(F22,3)</f>
        <v>μ=0.172</v>
      </c>
      <c r="E106" s="16"/>
      <c r="F106" s="20">
        <v>1.8129690530398854E-2</v>
      </c>
      <c r="G106" s="16"/>
      <c r="H106" s="16">
        <f t="shared" si="11"/>
        <v>1</v>
      </c>
      <c r="I106" s="21">
        <f t="shared" si="12"/>
        <v>7.6923076923076927E-2</v>
      </c>
      <c r="J106" s="21"/>
      <c r="K106" s="16"/>
      <c r="L106" s="16"/>
      <c r="M106" s="16"/>
      <c r="N106" s="16"/>
      <c r="O106" s="17"/>
      <c r="P106" s="16"/>
      <c r="Q106" s="16"/>
      <c r="R106" s="16"/>
      <c r="S106" s="16"/>
      <c r="T106" s="18"/>
      <c r="U106" s="1"/>
    </row>
    <row r="107" spans="1:21" x14ac:dyDescent="0.55000000000000004">
      <c r="A107" s="15"/>
      <c r="B107" s="16"/>
      <c r="C107" s="16"/>
      <c r="D107" s="16"/>
      <c r="E107" s="16"/>
      <c r="F107" s="20">
        <v>1.7145908873710543E-2</v>
      </c>
      <c r="G107" s="16"/>
      <c r="H107" s="16">
        <f t="shared" si="11"/>
        <v>1</v>
      </c>
      <c r="I107" s="21">
        <f t="shared" si="12"/>
        <v>7.6923076923076927E-2</v>
      </c>
      <c r="J107" s="21"/>
      <c r="K107" s="16"/>
      <c r="L107" s="16"/>
      <c r="M107" s="16" t="str">
        <f>"p="&amp;ROUND(BY62,3)</f>
        <v>p=0.126</v>
      </c>
      <c r="N107" s="16"/>
      <c r="O107" s="17"/>
      <c r="P107" s="16"/>
      <c r="Q107" s="16"/>
      <c r="R107" s="16"/>
      <c r="S107" s="16"/>
      <c r="T107" s="18"/>
      <c r="U107" s="1"/>
    </row>
    <row r="108" spans="1:21" x14ac:dyDescent="0.55000000000000004">
      <c r="A108" s="15"/>
      <c r="B108" s="16"/>
      <c r="C108" s="16"/>
      <c r="D108" s="16"/>
      <c r="E108" s="16"/>
      <c r="F108" s="20">
        <v>1.23394327796048E-2</v>
      </c>
      <c r="G108" s="16"/>
      <c r="H108" s="16">
        <f t="shared" si="11"/>
        <v>1</v>
      </c>
      <c r="I108" s="21">
        <f t="shared" si="12"/>
        <v>7.6923076923076927E-2</v>
      </c>
      <c r="J108" s="21"/>
      <c r="K108" s="16"/>
      <c r="L108" s="16"/>
      <c r="M108" s="16"/>
      <c r="N108" s="16"/>
      <c r="O108" s="17"/>
      <c r="P108" s="16"/>
      <c r="Q108" s="16"/>
      <c r="R108" s="16"/>
      <c r="S108" s="16"/>
      <c r="T108" s="18"/>
      <c r="U108" s="1"/>
    </row>
    <row r="109" spans="1:21" x14ac:dyDescent="0.55000000000000004">
      <c r="A109" s="15"/>
      <c r="B109" s="16"/>
      <c r="C109" s="16"/>
      <c r="D109" s="16"/>
      <c r="E109" s="16"/>
      <c r="F109" s="20">
        <v>2.7545886387272678E-3</v>
      </c>
      <c r="G109" s="16"/>
      <c r="H109" s="16">
        <f t="shared" si="11"/>
        <v>1</v>
      </c>
      <c r="I109" s="21">
        <f t="shared" si="12"/>
        <v>7.6923076923076927E-2</v>
      </c>
      <c r="J109" s="21"/>
      <c r="K109" s="16"/>
      <c r="L109" s="16"/>
      <c r="M109" s="16"/>
      <c r="N109" s="16"/>
      <c r="O109" s="17"/>
      <c r="P109" s="16"/>
      <c r="Q109" s="16"/>
      <c r="R109" s="16"/>
      <c r="S109" s="16"/>
      <c r="T109" s="18"/>
      <c r="U109" s="1"/>
    </row>
    <row r="110" spans="1:21" x14ac:dyDescent="0.55000000000000004">
      <c r="A110" s="15"/>
      <c r="B110" s="16"/>
      <c r="C110" s="16"/>
      <c r="D110" s="16"/>
      <c r="E110" s="16"/>
      <c r="F110" s="20">
        <v>1.1299435028248588E-2</v>
      </c>
      <c r="G110" s="16"/>
      <c r="H110" s="16">
        <f t="shared" si="11"/>
        <v>1</v>
      </c>
      <c r="I110" s="21">
        <f t="shared" si="12"/>
        <v>7.6923076923076927E-2</v>
      </c>
      <c r="J110" s="21"/>
      <c r="K110" s="16"/>
      <c r="L110" s="16"/>
      <c r="M110" s="16"/>
      <c r="N110" s="16"/>
      <c r="O110" s="49" t="str">
        <f>"n="&amp;B70</f>
        <v>n=1</v>
      </c>
      <c r="P110" s="49"/>
      <c r="Q110" s="49"/>
      <c r="R110" s="16"/>
      <c r="S110" s="16"/>
      <c r="T110" s="18"/>
      <c r="U110" s="1"/>
    </row>
    <row r="111" spans="1:21" x14ac:dyDescent="0.55000000000000004">
      <c r="A111" s="15"/>
      <c r="B111" s="16"/>
      <c r="C111" s="16"/>
      <c r="D111" s="16"/>
      <c r="E111" s="16"/>
      <c r="F111" s="20">
        <v>1.4082131714309807E-2</v>
      </c>
      <c r="G111" s="16"/>
      <c r="H111" s="16">
        <f t="shared" si="11"/>
        <v>1</v>
      </c>
      <c r="I111" s="21">
        <f t="shared" si="12"/>
        <v>7.6923076923076927E-2</v>
      </c>
      <c r="J111" s="21"/>
      <c r="K111" s="16"/>
      <c r="L111" s="16"/>
      <c r="M111" s="16"/>
      <c r="N111" s="16"/>
      <c r="O111" s="45" t="str">
        <f>"μ="&amp;ROUND(E70,3)</f>
        <v>μ=0.2</v>
      </c>
      <c r="P111" s="45"/>
      <c r="Q111" s="45"/>
      <c r="R111" s="16"/>
      <c r="S111" s="16"/>
      <c r="T111" s="18"/>
      <c r="U111" s="1"/>
    </row>
    <row r="112" spans="1:21" x14ac:dyDescent="0.55000000000000004">
      <c r="A112" s="15"/>
      <c r="B112" s="16"/>
      <c r="C112" s="16"/>
      <c r="D112" s="16"/>
      <c r="E112" s="16"/>
      <c r="F112" s="20">
        <v>1.4672400708322793E-2</v>
      </c>
      <c r="G112" s="16"/>
      <c r="H112" s="16">
        <f t="shared" si="11"/>
        <v>1</v>
      </c>
      <c r="I112" s="21">
        <f t="shared" si="12"/>
        <v>7.6923076923076927E-2</v>
      </c>
      <c r="J112" s="21"/>
      <c r="K112" s="16"/>
      <c r="L112" s="16"/>
      <c r="M112" s="16"/>
      <c r="N112" s="16"/>
      <c r="O112" s="17"/>
      <c r="P112" s="16"/>
      <c r="Q112" s="16"/>
      <c r="R112" s="16"/>
      <c r="S112" s="16"/>
      <c r="T112" s="18"/>
      <c r="U112" s="1"/>
    </row>
    <row r="113" spans="1:21" x14ac:dyDescent="0.55000000000000004">
      <c r="A113" s="15"/>
      <c r="B113" s="16"/>
      <c r="C113" s="16"/>
      <c r="D113" s="16"/>
      <c r="E113" s="16"/>
      <c r="F113" s="20">
        <v>1.2451864968940608E-2</v>
      </c>
      <c r="G113" s="16"/>
      <c r="H113" s="16">
        <f t="shared" si="11"/>
        <v>1</v>
      </c>
      <c r="I113" s="21">
        <f t="shared" si="12"/>
        <v>7.6923076923076927E-2</v>
      </c>
      <c r="J113" s="21"/>
      <c r="K113" s="16"/>
      <c r="L113" s="16"/>
      <c r="M113" s="25" t="str">
        <f>"p="&amp;ROUND(BW63,3)</f>
        <v>p=0.766</v>
      </c>
      <c r="N113" s="16"/>
      <c r="O113" s="17"/>
      <c r="P113" s="16"/>
      <c r="Q113" s="16"/>
      <c r="R113" s="16"/>
      <c r="S113" s="16"/>
      <c r="T113" s="18"/>
      <c r="U113" s="1"/>
    </row>
    <row r="114" spans="1:21" x14ac:dyDescent="0.55000000000000004">
      <c r="A114" s="15"/>
      <c r="B114" s="16"/>
      <c r="C114" s="16"/>
      <c r="D114" s="16"/>
      <c r="E114" s="16"/>
      <c r="F114" s="20">
        <v>6.5210669814767964E-3</v>
      </c>
      <c r="G114" s="16"/>
      <c r="H114" s="16">
        <f t="shared" si="11"/>
        <v>1</v>
      </c>
      <c r="I114" s="21">
        <f t="shared" si="12"/>
        <v>7.6923076923076927E-2</v>
      </c>
      <c r="J114" s="21"/>
      <c r="K114" s="16"/>
      <c r="L114" s="16"/>
      <c r="M114" s="16"/>
      <c r="N114" s="16"/>
      <c r="O114" s="17"/>
      <c r="P114" s="16"/>
      <c r="Q114" s="16"/>
      <c r="R114" s="16"/>
      <c r="S114" s="16"/>
      <c r="T114" s="18"/>
      <c r="U114" s="1"/>
    </row>
    <row r="115" spans="1:21" x14ac:dyDescent="0.55000000000000004">
      <c r="A115" s="15"/>
      <c r="B115" s="16"/>
      <c r="C115" s="16"/>
      <c r="D115" s="16"/>
      <c r="E115" s="16"/>
      <c r="F115" s="20">
        <v>9.4724119515417256E-3</v>
      </c>
      <c r="G115" s="16"/>
      <c r="H115" s="16">
        <f t="shared" si="11"/>
        <v>1</v>
      </c>
      <c r="I115" s="21">
        <f t="shared" si="12"/>
        <v>7.6923076923076927E-2</v>
      </c>
      <c r="J115" s="21"/>
      <c r="K115" s="16"/>
      <c r="L115" s="16"/>
      <c r="M115" s="16"/>
      <c r="N115" s="16"/>
      <c r="O115" s="17"/>
      <c r="P115" s="16"/>
      <c r="Q115" s="16"/>
      <c r="R115" s="16"/>
      <c r="S115" s="16"/>
      <c r="T115" s="18"/>
      <c r="U115" s="1"/>
    </row>
    <row r="116" spans="1:21" x14ac:dyDescent="0.55000000000000004">
      <c r="A116" s="15"/>
      <c r="B116" s="16"/>
      <c r="C116" s="16"/>
      <c r="D116" s="16"/>
      <c r="E116" s="16"/>
      <c r="F116" s="20">
        <v>1.1074570649576974E-2</v>
      </c>
      <c r="G116" s="16"/>
      <c r="H116" s="16">
        <f t="shared" si="11"/>
        <v>1</v>
      </c>
      <c r="I116" s="21">
        <f t="shared" si="12"/>
        <v>7.6923076923076927E-2</v>
      </c>
      <c r="J116" s="21"/>
      <c r="K116" s="16"/>
      <c r="L116" s="16"/>
      <c r="M116" s="16" t="str">
        <f>"p="&amp;ROUND(BX63,3)</f>
        <v>p=0.108</v>
      </c>
      <c r="N116" s="16"/>
      <c r="O116" s="17"/>
      <c r="P116" s="16"/>
      <c r="Q116" s="16"/>
      <c r="R116" s="16"/>
      <c r="S116" s="16"/>
      <c r="T116" s="18"/>
      <c r="U116" s="1"/>
    </row>
    <row r="117" spans="1:21" x14ac:dyDescent="0.55000000000000004">
      <c r="A117" s="15"/>
      <c r="B117" s="16"/>
      <c r="C117" s="16"/>
      <c r="D117" s="16"/>
      <c r="E117" s="16"/>
      <c r="F117" s="20">
        <v>1.4812940944992551E-2</v>
      </c>
      <c r="G117" s="16"/>
      <c r="H117" s="16">
        <f t="shared" si="11"/>
        <v>1</v>
      </c>
      <c r="I117" s="21">
        <f t="shared" si="12"/>
        <v>7.6923076923076927E-2</v>
      </c>
      <c r="J117" s="21"/>
      <c r="K117" s="16"/>
      <c r="L117" s="16"/>
      <c r="M117" s="23"/>
      <c r="N117" s="16"/>
      <c r="O117" s="17"/>
      <c r="P117" s="16"/>
      <c r="Q117" s="16"/>
      <c r="R117" s="16"/>
      <c r="S117" s="16"/>
      <c r="T117" s="18"/>
      <c r="U117" s="1"/>
    </row>
    <row r="118" spans="1:21" x14ac:dyDescent="0.55000000000000004">
      <c r="A118" s="15"/>
      <c r="B118" s="16"/>
      <c r="C118" s="16"/>
      <c r="D118" s="16"/>
      <c r="E118" s="16"/>
      <c r="F118" s="20">
        <v>1.675239621103522E-2</v>
      </c>
      <c r="G118" s="16"/>
      <c r="H118" s="16">
        <f t="shared" si="11"/>
        <v>1</v>
      </c>
      <c r="I118" s="21">
        <f t="shared" si="12"/>
        <v>7.6923076923076927E-2</v>
      </c>
      <c r="J118" s="21"/>
      <c r="K118" s="16"/>
      <c r="L118" s="16"/>
      <c r="M118" s="23"/>
      <c r="N118" s="16"/>
      <c r="O118" s="17"/>
      <c r="P118" s="16"/>
      <c r="Q118" s="16"/>
      <c r="R118" s="16"/>
      <c r="S118" s="16"/>
      <c r="T118" s="18"/>
      <c r="U118" s="1"/>
    </row>
    <row r="119" spans="1:21" x14ac:dyDescent="0.55000000000000004">
      <c r="A119" s="15"/>
      <c r="B119" s="16"/>
      <c r="C119" s="16"/>
      <c r="D119" s="16"/>
      <c r="E119" s="16"/>
      <c r="F119" s="20">
        <v>2.1418332068471203E-2</v>
      </c>
      <c r="G119" s="16"/>
      <c r="H119" s="16">
        <f t="shared" si="11"/>
        <v>1</v>
      </c>
      <c r="I119" s="21">
        <f t="shared" si="12"/>
        <v>7.6923076923076927E-2</v>
      </c>
      <c r="J119" s="21"/>
      <c r="K119" s="16"/>
      <c r="L119" s="16" t="str">
        <f>"n="&amp;B67</f>
        <v>n=1</v>
      </c>
      <c r="M119" s="22" t="str">
        <f>"p="&amp;ROUND(BY63,3)</f>
        <v>p=0.126</v>
      </c>
      <c r="N119" s="16"/>
      <c r="O119" s="17"/>
      <c r="P119" s="16"/>
      <c r="Q119" s="16"/>
      <c r="R119" s="16"/>
      <c r="S119" s="16"/>
      <c r="T119" s="18"/>
      <c r="U119" s="1"/>
    </row>
    <row r="120" spans="1:21" x14ac:dyDescent="0.55000000000000004">
      <c r="A120" s="15"/>
      <c r="B120" s="16"/>
      <c r="C120" s="16"/>
      <c r="D120" s="16"/>
      <c r="E120" s="16"/>
      <c r="F120" s="20">
        <v>2.695561739325969E-2</v>
      </c>
      <c r="G120" s="16"/>
      <c r="H120" s="16">
        <f t="shared" si="11"/>
        <v>1</v>
      </c>
      <c r="I120" s="21">
        <f t="shared" si="12"/>
        <v>7.6923076923076927E-2</v>
      </c>
      <c r="J120" s="21"/>
      <c r="K120" s="16"/>
      <c r="L120" s="19" t="str">
        <f>"μ="&amp;ROUND(E67,3)</f>
        <v>μ=0.5</v>
      </c>
      <c r="M120" s="16"/>
      <c r="N120" s="16"/>
      <c r="O120" s="17"/>
      <c r="P120" s="16"/>
      <c r="Q120" s="16"/>
      <c r="R120" s="16"/>
      <c r="S120" s="16"/>
      <c r="T120" s="18"/>
      <c r="U120" s="1"/>
    </row>
    <row r="121" spans="1:21" x14ac:dyDescent="0.55000000000000004">
      <c r="A121" s="15"/>
      <c r="B121" s="16"/>
      <c r="C121" s="16"/>
      <c r="D121" s="16"/>
      <c r="E121" s="16"/>
      <c r="F121" s="20">
        <v>2.8220479523287517E-2</v>
      </c>
      <c r="G121" s="16"/>
      <c r="H121" s="16">
        <f t="shared" si="11"/>
        <v>1</v>
      </c>
      <c r="I121" s="21">
        <f t="shared" si="12"/>
        <v>7.6923076923076927E-2</v>
      </c>
      <c r="J121" s="21"/>
      <c r="K121" s="16"/>
      <c r="L121" s="16"/>
      <c r="M121" s="16"/>
      <c r="N121" s="16"/>
      <c r="O121" s="17"/>
      <c r="P121" s="16"/>
      <c r="Q121" s="16"/>
      <c r="R121" s="16"/>
      <c r="S121" s="16"/>
      <c r="T121" s="18"/>
      <c r="U121" s="1"/>
    </row>
    <row r="122" spans="1:21" x14ac:dyDescent="0.55000000000000004">
      <c r="A122" s="15"/>
      <c r="B122" s="16"/>
      <c r="C122" s="16"/>
      <c r="D122" s="16"/>
      <c r="E122" s="16"/>
      <c r="F122" s="20">
        <v>1.1271326980914636E-2</v>
      </c>
      <c r="G122" s="16"/>
      <c r="H122" s="16">
        <f t="shared" si="11"/>
        <v>1</v>
      </c>
      <c r="I122" s="21">
        <f t="shared" si="12"/>
        <v>7.6923076923076927E-2</v>
      </c>
      <c r="J122" s="21"/>
      <c r="K122" s="16"/>
      <c r="L122" s="16"/>
      <c r="M122" s="16"/>
      <c r="N122" s="16"/>
      <c r="O122" s="17"/>
      <c r="P122" s="16"/>
      <c r="Q122" s="16"/>
      <c r="R122" s="16"/>
      <c r="S122" s="16"/>
      <c r="T122" s="18"/>
      <c r="U122" s="1"/>
    </row>
    <row r="123" spans="1:21" x14ac:dyDescent="0.55000000000000004">
      <c r="A123" s="15"/>
      <c r="B123" s="16"/>
      <c r="C123" s="16"/>
      <c r="D123" s="16"/>
      <c r="E123" s="16"/>
      <c r="F123" s="20">
        <v>1.9366444613092729E-2</v>
      </c>
      <c r="G123" s="16"/>
      <c r="H123" s="16">
        <f t="shared" si="11"/>
        <v>1</v>
      </c>
      <c r="I123" s="21">
        <f t="shared" si="12"/>
        <v>7.6923076923076927E-2</v>
      </c>
      <c r="J123" s="21"/>
      <c r="K123" s="16"/>
      <c r="L123" s="16"/>
      <c r="M123" s="16"/>
      <c r="N123" s="16"/>
      <c r="O123" s="17"/>
      <c r="P123" s="16"/>
      <c r="Q123" s="16"/>
      <c r="R123" s="16"/>
      <c r="S123" s="16"/>
      <c r="T123" s="18"/>
      <c r="U123" s="1"/>
    </row>
    <row r="124" spans="1:21" x14ac:dyDescent="0.55000000000000004">
      <c r="A124" s="15"/>
      <c r="B124" s="16"/>
      <c r="C124" s="16"/>
      <c r="D124" s="16"/>
      <c r="E124" s="16"/>
      <c r="F124" s="20">
        <v>1.4756724850324648E-2</v>
      </c>
      <c r="G124" s="16"/>
      <c r="H124" s="16">
        <f t="shared" si="11"/>
        <v>1</v>
      </c>
      <c r="I124" s="21">
        <f t="shared" si="12"/>
        <v>7.6923076923076927E-2</v>
      </c>
      <c r="J124" s="21"/>
      <c r="K124" s="16"/>
      <c r="L124" s="16"/>
      <c r="M124" s="16"/>
      <c r="N124" s="16"/>
      <c r="O124" s="17"/>
      <c r="P124" s="16"/>
      <c r="Q124" s="16"/>
      <c r="R124" s="16"/>
      <c r="S124" s="16"/>
      <c r="T124" s="18"/>
      <c r="U124" s="1"/>
    </row>
    <row r="125" spans="1:21" x14ac:dyDescent="0.55000000000000004">
      <c r="A125" s="15"/>
      <c r="B125" s="16"/>
      <c r="C125" s="16"/>
      <c r="D125" s="16"/>
      <c r="E125" s="16"/>
      <c r="F125" s="20">
        <v>3.3982629226747621E-2</v>
      </c>
      <c r="G125" s="16"/>
      <c r="H125" s="16">
        <f t="shared" si="11"/>
        <v>1</v>
      </c>
      <c r="I125" s="21">
        <f t="shared" si="12"/>
        <v>7.6923076923076927E-2</v>
      </c>
      <c r="J125" s="21"/>
      <c r="K125" s="16"/>
      <c r="L125" s="16"/>
      <c r="M125" s="16"/>
      <c r="N125" s="16"/>
      <c r="O125" s="17"/>
      <c r="P125" s="16"/>
      <c r="Q125" s="16"/>
      <c r="R125" s="16"/>
      <c r="S125" s="16"/>
      <c r="T125" s="18"/>
      <c r="U125" s="1"/>
    </row>
    <row r="126" spans="1:21" x14ac:dyDescent="0.55000000000000004">
      <c r="A126" s="15"/>
      <c r="B126" s="16"/>
      <c r="C126" s="16"/>
      <c r="D126" s="16"/>
      <c r="E126" s="16"/>
      <c r="F126" s="20">
        <v>2.8192371475953566E-2</v>
      </c>
      <c r="G126" s="16"/>
      <c r="H126" s="16">
        <f t="shared" si="11"/>
        <v>1</v>
      </c>
      <c r="I126" s="21">
        <f t="shared" si="12"/>
        <v>7.6923076923076927E-2</v>
      </c>
      <c r="J126" s="21"/>
      <c r="K126" s="16"/>
      <c r="L126" s="16"/>
      <c r="M126" s="16"/>
      <c r="N126" s="16"/>
      <c r="O126" s="17"/>
      <c r="P126" s="16"/>
      <c r="Q126" s="16"/>
      <c r="R126" s="16"/>
      <c r="S126" s="16"/>
      <c r="T126" s="18"/>
      <c r="U126" s="1"/>
    </row>
    <row r="127" spans="1:21" x14ac:dyDescent="0.55000000000000004">
      <c r="A127" s="15"/>
      <c r="B127" s="16"/>
      <c r="C127" s="16"/>
      <c r="D127" s="16"/>
      <c r="E127" s="16"/>
      <c r="F127" s="20">
        <v>2.9794530173988813E-3</v>
      </c>
      <c r="G127" s="16"/>
      <c r="H127" s="16">
        <f t="shared" si="11"/>
        <v>1</v>
      </c>
      <c r="I127" s="21">
        <f t="shared" si="12"/>
        <v>7.6923076923076927E-2</v>
      </c>
      <c r="J127" s="21"/>
      <c r="K127" s="16"/>
      <c r="L127" s="16"/>
      <c r="M127" s="16"/>
      <c r="N127" s="16"/>
      <c r="O127" s="17"/>
      <c r="P127" s="16"/>
      <c r="Q127" s="16"/>
      <c r="R127" s="16"/>
      <c r="S127" s="16"/>
      <c r="T127" s="18"/>
      <c r="U127" s="1"/>
    </row>
    <row r="128" spans="1:21" x14ac:dyDescent="0.55000000000000004">
      <c r="A128" s="15"/>
      <c r="B128" s="16"/>
      <c r="C128" s="16"/>
      <c r="D128" s="16"/>
      <c r="E128" s="16"/>
      <c r="F128" s="20">
        <v>2.8108047333951711E-2</v>
      </c>
      <c r="G128" s="16"/>
      <c r="H128" s="16">
        <f t="shared" si="11"/>
        <v>1</v>
      </c>
      <c r="I128" s="21">
        <f t="shared" si="12"/>
        <v>7.6923076923076927E-2</v>
      </c>
      <c r="J128" s="21"/>
      <c r="K128" s="16"/>
      <c r="L128" s="16"/>
      <c r="M128" s="16"/>
      <c r="N128" s="16"/>
      <c r="O128" s="17"/>
      <c r="P128" s="16"/>
      <c r="Q128" s="16"/>
      <c r="R128" s="16"/>
      <c r="S128" s="16"/>
      <c r="T128" s="18"/>
      <c r="U128" s="1"/>
    </row>
    <row r="129" spans="1:21" x14ac:dyDescent="0.55000000000000004">
      <c r="A129" s="15"/>
      <c r="B129" s="16"/>
      <c r="C129" s="16"/>
      <c r="D129" s="16"/>
      <c r="E129" s="16"/>
      <c r="F129" s="20">
        <v>1.824212271973466E-2</v>
      </c>
      <c r="G129" s="16"/>
      <c r="H129" s="16">
        <f t="shared" si="11"/>
        <v>1</v>
      </c>
      <c r="I129" s="21">
        <f t="shared" si="12"/>
        <v>7.6923076923076927E-2</v>
      </c>
      <c r="J129" s="21"/>
      <c r="K129" s="16"/>
      <c r="L129" s="16"/>
      <c r="M129" s="16"/>
      <c r="N129" s="16"/>
      <c r="O129" s="17"/>
      <c r="P129" s="16"/>
      <c r="Q129" s="16"/>
      <c r="R129" s="16"/>
      <c r="S129" s="16"/>
      <c r="T129" s="18"/>
      <c r="U129" s="1"/>
    </row>
    <row r="130" spans="1:21" x14ac:dyDescent="0.55000000000000004">
      <c r="A130" s="15"/>
      <c r="B130" s="16"/>
      <c r="C130" s="16"/>
      <c r="D130" s="16"/>
      <c r="E130" s="16"/>
      <c r="F130" s="20">
        <v>1.2255108637602945E-2</v>
      </c>
      <c r="G130" s="16"/>
      <c r="H130" s="16">
        <f t="shared" si="11"/>
        <v>1</v>
      </c>
      <c r="I130" s="21">
        <f t="shared" si="12"/>
        <v>7.6923076923076927E-2</v>
      </c>
      <c r="J130" s="21"/>
      <c r="K130" s="16"/>
      <c r="L130" s="16"/>
      <c r="M130" s="16"/>
      <c r="N130" s="16"/>
      <c r="O130" s="17"/>
      <c r="P130" s="16"/>
      <c r="Q130" s="16"/>
      <c r="R130" s="16"/>
      <c r="S130" s="16"/>
      <c r="T130" s="18"/>
      <c r="U130" s="1"/>
    </row>
    <row r="131" spans="1:21" x14ac:dyDescent="0.55000000000000004">
      <c r="A131" s="15"/>
      <c r="B131" s="16"/>
      <c r="C131" s="16"/>
      <c r="D131" s="16"/>
      <c r="E131" s="16"/>
      <c r="F131" s="20">
        <v>8.1232256795120451E-3</v>
      </c>
      <c r="G131" s="16"/>
      <c r="H131" s="16">
        <f t="shared" si="11"/>
        <v>1</v>
      </c>
      <c r="I131" s="21">
        <f t="shared" si="12"/>
        <v>7.6923076923076927E-2</v>
      </c>
      <c r="J131" s="21"/>
      <c r="K131" s="16"/>
      <c r="L131" s="16"/>
      <c r="M131" s="16"/>
      <c r="N131" s="16"/>
      <c r="O131" s="17"/>
      <c r="P131" s="16"/>
      <c r="Q131" s="16"/>
      <c r="R131" s="16"/>
      <c r="S131" s="16"/>
      <c r="T131" s="18"/>
      <c r="U131" s="1"/>
    </row>
    <row r="132" spans="1:21" ht="14.7" thickBot="1" x14ac:dyDescent="0.6">
      <c r="A132" s="28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30"/>
      <c r="O132" s="29"/>
      <c r="P132" s="29"/>
      <c r="Q132" s="29"/>
      <c r="R132" s="29"/>
      <c r="S132" s="29"/>
      <c r="T132" s="31"/>
    </row>
  </sheetData>
  <mergeCells count="9">
    <mergeCell ref="A5:E5"/>
    <mergeCell ref="A1:C1"/>
    <mergeCell ref="O111:Q111"/>
    <mergeCell ref="A74:T74"/>
    <mergeCell ref="O94:Q94"/>
    <mergeCell ref="O93:Q93"/>
    <mergeCell ref="O101:Q101"/>
    <mergeCell ref="O102:Q102"/>
    <mergeCell ref="O110:Q110"/>
  </mergeCells>
  <conditionalFormatting sqref="BZ3:BZ70 BU71">
    <cfRule type="cellIs" dxfId="11" priority="7" operator="lessThan">
      <formula>0</formula>
    </cfRule>
  </conditionalFormatting>
  <conditionalFormatting sqref="F7:F8">
    <cfRule type="cellIs" dxfId="10" priority="5" operator="greaterThanOrEqual">
      <formula>1</formula>
    </cfRule>
  </conditionalFormatting>
  <conditionalFormatting sqref="F9:F70">
    <cfRule type="cellIs" dxfId="9" priority="4" operator="greaterThanOrEqual">
      <formula>1</formula>
    </cfRule>
  </conditionalFormatting>
  <conditionalFormatting sqref="H7:H7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:F70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7"/>
  <sheetViews>
    <sheetView tabSelected="1" workbookViewId="0">
      <selection activeCell="F44" sqref="F44:K47"/>
    </sheetView>
  </sheetViews>
  <sheetFormatPr defaultRowHeight="14.4" x14ac:dyDescent="0.55000000000000004"/>
  <cols>
    <col min="1" max="1" width="16.26171875" bestFit="1" customWidth="1"/>
    <col min="2" max="2" width="18.15625" bestFit="1" customWidth="1"/>
    <col min="3" max="3" width="17.26171875" bestFit="1" customWidth="1"/>
    <col min="4" max="4" width="15.578125" bestFit="1" customWidth="1"/>
    <col min="5" max="5" width="11.68359375" bestFit="1" customWidth="1"/>
    <col min="6" max="6" width="5.68359375" bestFit="1" customWidth="1"/>
    <col min="7" max="7" width="6.41796875" customWidth="1"/>
    <col min="8" max="8" width="8.15625" customWidth="1"/>
    <col min="9" max="11" width="6.68359375" bestFit="1" customWidth="1"/>
    <col min="12" max="12" width="20" customWidth="1"/>
    <col min="13" max="13" width="14.68359375" customWidth="1"/>
    <col min="18" max="18" width="17.15625" customWidth="1"/>
  </cols>
  <sheetData>
    <row r="1" spans="1:19" x14ac:dyDescent="0.55000000000000004">
      <c r="A1" s="51" t="s">
        <v>19</v>
      </c>
      <c r="B1" s="52"/>
      <c r="C1" s="53"/>
      <c r="D1" s="3"/>
      <c r="E1" s="3"/>
      <c r="F1" s="3"/>
      <c r="G1" s="3"/>
      <c r="H1" s="3"/>
      <c r="I1" s="3"/>
      <c r="J1" s="3"/>
      <c r="K1" s="3"/>
      <c r="M1" s="50" t="s">
        <v>20</v>
      </c>
      <c r="N1" s="50"/>
      <c r="O1" s="50"/>
      <c r="P1" s="50"/>
      <c r="Q1" s="50"/>
      <c r="R1" s="50"/>
    </row>
    <row r="2" spans="1:19" x14ac:dyDescent="0.55000000000000004">
      <c r="A2" s="5" t="s">
        <v>4</v>
      </c>
      <c r="B2" s="7">
        <v>2.7</v>
      </c>
      <c r="C2" s="5" t="s">
        <v>5</v>
      </c>
      <c r="M2" s="5" t="s">
        <v>10</v>
      </c>
      <c r="N2" s="5" t="s">
        <v>0</v>
      </c>
      <c r="O2" s="5" t="s">
        <v>1</v>
      </c>
      <c r="P2" s="5" t="s">
        <v>2</v>
      </c>
      <c r="Q2" s="5" t="s">
        <v>3</v>
      </c>
      <c r="R2" s="5" t="s">
        <v>11</v>
      </c>
    </row>
    <row r="3" spans="1:19" x14ac:dyDescent="0.55000000000000004">
      <c r="A3" s="5" t="s">
        <v>14</v>
      </c>
      <c r="B3" s="5">
        <f>1/B2</f>
        <v>0.37037037037037035</v>
      </c>
      <c r="C3" s="5"/>
      <c r="M3" s="5" t="s">
        <v>0</v>
      </c>
      <c r="N3" s="32"/>
      <c r="O3" s="32">
        <v>1</v>
      </c>
      <c r="P3" s="32"/>
      <c r="Q3" s="32"/>
      <c r="R3" s="5">
        <f>1-(SUM(N3:Q3))</f>
        <v>0</v>
      </c>
    </row>
    <row r="4" spans="1:19" x14ac:dyDescent="0.55000000000000004">
      <c r="A4" s="11"/>
      <c r="F4" s="2"/>
      <c r="G4" s="2"/>
      <c r="H4" s="2"/>
      <c r="I4" s="2"/>
      <c r="J4" s="2"/>
      <c r="K4" s="2"/>
      <c r="M4" s="5" t="s">
        <v>1</v>
      </c>
      <c r="N4" s="32"/>
      <c r="O4" s="32"/>
      <c r="P4" s="32">
        <v>0.87390000000000001</v>
      </c>
      <c r="Q4" s="32">
        <v>0.12609999999999999</v>
      </c>
      <c r="R4" s="5">
        <f t="shared" ref="R4:R7" si="0">1-(SUM(N4:Q4))</f>
        <v>0</v>
      </c>
    </row>
    <row r="5" spans="1:19" x14ac:dyDescent="0.55000000000000004">
      <c r="A5" s="5"/>
      <c r="B5" s="5" t="s">
        <v>12</v>
      </c>
      <c r="C5" s="5" t="s">
        <v>6</v>
      </c>
      <c r="D5" s="5" t="s">
        <v>16</v>
      </c>
      <c r="E5" s="5" t="s">
        <v>15</v>
      </c>
      <c r="F5" s="5" t="s">
        <v>7</v>
      </c>
      <c r="G5" s="5" t="s">
        <v>13</v>
      </c>
      <c r="H5" s="5" t="s">
        <v>8</v>
      </c>
      <c r="I5" s="5" t="s">
        <v>9</v>
      </c>
      <c r="J5" s="5" t="s">
        <v>17</v>
      </c>
      <c r="K5" s="5" t="s">
        <v>18</v>
      </c>
      <c r="M5" s="5" t="s">
        <v>2</v>
      </c>
      <c r="N5" s="32"/>
      <c r="O5" s="32"/>
      <c r="P5" s="32"/>
      <c r="Q5" s="32"/>
      <c r="R5" s="5">
        <f t="shared" si="0"/>
        <v>1</v>
      </c>
    </row>
    <row r="6" spans="1:19" x14ac:dyDescent="0.55000000000000004">
      <c r="A6" s="5" t="s">
        <v>0</v>
      </c>
      <c r="B6" s="7">
        <v>5</v>
      </c>
      <c r="C6" s="7">
        <v>3.5</v>
      </c>
      <c r="D6" s="8">
        <f>+B3</f>
        <v>0.37037037037037035</v>
      </c>
      <c r="E6" s="8">
        <f>1/C6</f>
        <v>0.2857142857142857</v>
      </c>
      <c r="F6" s="8">
        <f>+(D6/(B6*E6))</f>
        <v>0.2592592592592593</v>
      </c>
      <c r="G6" s="8">
        <v>0.27334601235140998</v>
      </c>
      <c r="H6" s="8">
        <f>+I6/D6</f>
        <v>1.0636983230800322E-2</v>
      </c>
      <c r="I6" s="8">
        <f>+(G6*(D6/E6)^B6*F6)/(FACT(B6)*(1-F6)^2)</f>
        <v>3.9396234188149339E-3</v>
      </c>
      <c r="J6" s="8">
        <f>+H6+C6</f>
        <v>3.5106369832308002</v>
      </c>
      <c r="K6" s="8">
        <f>+J6*D6</f>
        <v>1.3002359197151112</v>
      </c>
      <c r="M6" s="5" t="s">
        <v>3</v>
      </c>
      <c r="N6" s="32"/>
      <c r="O6" s="32"/>
      <c r="P6" s="32"/>
      <c r="Q6" s="32"/>
      <c r="R6" s="5">
        <f t="shared" si="0"/>
        <v>1</v>
      </c>
    </row>
    <row r="7" spans="1:19" x14ac:dyDescent="0.55000000000000004">
      <c r="A7" s="5" t="s">
        <v>1</v>
      </c>
      <c r="B7" s="7">
        <v>54</v>
      </c>
      <c r="C7" s="7">
        <v>13</v>
      </c>
      <c r="D7" s="8">
        <f>+D6*O3</f>
        <v>0.37037037037037035</v>
      </c>
      <c r="E7" s="8">
        <f>1/C7</f>
        <v>7.6923076923076927E-2</v>
      </c>
      <c r="F7" s="8">
        <f t="shared" ref="F7:F9" si="1">+(D7/(B7*E7))</f>
        <v>8.9163237311385452E-2</v>
      </c>
      <c r="G7" s="8">
        <v>8.1087235543458452E-3</v>
      </c>
      <c r="H7" s="8">
        <f>+I7/D7</f>
        <v>7.3722613588818882E-38</v>
      </c>
      <c r="I7" s="8">
        <f>+(G7*(D7/E7)^B7*F7)/(FACT(B7)*(1-F7)^2)</f>
        <v>2.7304671699562546E-38</v>
      </c>
      <c r="J7" s="8">
        <f>+H7+C7</f>
        <v>13</v>
      </c>
      <c r="K7" s="8">
        <f>+J7*D7</f>
        <v>4.8148148148148149</v>
      </c>
      <c r="M7" s="5" t="s">
        <v>11</v>
      </c>
      <c r="N7" s="32">
        <v>1</v>
      </c>
      <c r="O7" s="32"/>
      <c r="P7" s="32"/>
      <c r="Q7" s="32"/>
      <c r="R7" s="5">
        <f t="shared" si="0"/>
        <v>0</v>
      </c>
    </row>
    <row r="8" spans="1:19" x14ac:dyDescent="0.55000000000000004">
      <c r="A8" s="5" t="s">
        <v>2</v>
      </c>
      <c r="B8" s="7">
        <v>8</v>
      </c>
      <c r="C8" s="9">
        <v>6</v>
      </c>
      <c r="D8" s="8">
        <f>+D7*P4</f>
        <v>0.32366666666666666</v>
      </c>
      <c r="E8" s="8">
        <f>1/C8</f>
        <v>0.16666666666666666</v>
      </c>
      <c r="F8" s="8">
        <f t="shared" si="1"/>
        <v>0.24274999999999999</v>
      </c>
      <c r="G8" s="8">
        <v>0.14341124797339283</v>
      </c>
      <c r="H8" s="8">
        <f>+I8/D8</f>
        <v>9.4110741576805036E-4</v>
      </c>
      <c r="I8" s="8">
        <f>+(G8*(D8/E8)^B8*F8)/(FACT(B8)*(1-F8)^2)</f>
        <v>3.0460510023692564E-4</v>
      </c>
      <c r="J8" s="8">
        <f>+H8+C8</f>
        <v>6.0009411074157679</v>
      </c>
      <c r="K8" s="8">
        <f>+J8*D8</f>
        <v>1.9423046051002368</v>
      </c>
    </row>
    <row r="9" spans="1:19" x14ac:dyDescent="0.55000000000000004">
      <c r="A9" s="5" t="s">
        <v>3</v>
      </c>
      <c r="B9" s="7">
        <v>1</v>
      </c>
      <c r="C9" s="7">
        <v>5</v>
      </c>
      <c r="D9" s="8">
        <f>+D7*Q4</f>
        <v>4.6703703703703699E-2</v>
      </c>
      <c r="E9" s="8">
        <f>1/C9</f>
        <v>0.2</v>
      </c>
      <c r="F9" s="8">
        <f t="shared" si="1"/>
        <v>0.23351851851851849</v>
      </c>
      <c r="G9" s="8">
        <v>0.76648148148148154</v>
      </c>
      <c r="H9" s="8">
        <f>+I9/D9</f>
        <v>1.5233148103406613</v>
      </c>
      <c r="I9" s="8">
        <f>+(G9*(D9/E9)^B9*F9)/(FACT(B9)*(1-F9)^2)</f>
        <v>7.1144443549613842E-2</v>
      </c>
      <c r="J9" s="8">
        <f>+H9+C9</f>
        <v>6.5233148103406613</v>
      </c>
      <c r="K9" s="8">
        <f>+J9*D9</f>
        <v>0.30466296206813231</v>
      </c>
    </row>
    <row r="10" spans="1:19" x14ac:dyDescent="0.55000000000000004">
      <c r="F10" s="40"/>
      <c r="G10" s="40"/>
      <c r="H10" s="40"/>
      <c r="I10" s="40"/>
      <c r="J10" s="40"/>
      <c r="K10" s="40"/>
    </row>
    <row r="11" spans="1:19" x14ac:dyDescent="0.55000000000000004">
      <c r="F11" s="40"/>
      <c r="G11" s="40"/>
      <c r="H11" s="40"/>
      <c r="I11" s="40"/>
      <c r="J11" s="40"/>
      <c r="K11" s="40"/>
    </row>
    <row r="12" spans="1:19" ht="14.7" thickBot="1" x14ac:dyDescent="0.6">
      <c r="F12" s="40"/>
      <c r="G12" s="40"/>
      <c r="H12" s="40"/>
      <c r="I12" s="40"/>
      <c r="J12" s="40"/>
      <c r="K12" s="40"/>
    </row>
    <row r="13" spans="1:19" x14ac:dyDescent="0.55000000000000004">
      <c r="A13">
        <v>2.7</v>
      </c>
      <c r="B13" s="7">
        <v>3</v>
      </c>
      <c r="C13" s="7">
        <v>54</v>
      </c>
      <c r="D13" s="7">
        <v>4</v>
      </c>
      <c r="E13" s="7">
        <v>1</v>
      </c>
      <c r="F13" s="5" t="s">
        <v>7</v>
      </c>
      <c r="G13" s="5" t="s">
        <v>13</v>
      </c>
      <c r="H13" s="5" t="s">
        <v>8</v>
      </c>
      <c r="I13" s="5" t="s">
        <v>9</v>
      </c>
      <c r="J13" s="5" t="s">
        <v>17</v>
      </c>
      <c r="K13" s="5" t="s">
        <v>18</v>
      </c>
      <c r="M13" s="33"/>
      <c r="N13" s="34"/>
      <c r="O13" s="34"/>
      <c r="P13" s="34"/>
      <c r="Q13" s="34"/>
      <c r="R13" s="34"/>
      <c r="S13" s="35"/>
    </row>
    <row r="14" spans="1:19" x14ac:dyDescent="0.55000000000000004">
      <c r="F14" s="8">
        <v>0.43209876543209874</v>
      </c>
      <c r="G14" s="8">
        <v>0.26484699861392474</v>
      </c>
      <c r="H14" s="8">
        <v>0.34782261017907706</v>
      </c>
      <c r="I14" s="8">
        <v>0.12882318895521372</v>
      </c>
      <c r="J14" s="8">
        <v>3.8478226101790769</v>
      </c>
      <c r="K14" s="8">
        <v>1.4251194852515099</v>
      </c>
      <c r="M14" s="36"/>
      <c r="N14" s="24" t="str">
        <f>"n="&amp;B6</f>
        <v>n=5</v>
      </c>
      <c r="O14" s="37"/>
      <c r="P14" s="24" t="str">
        <f>"n="&amp;B7</f>
        <v>n=54</v>
      </c>
      <c r="Q14" s="37"/>
      <c r="R14" s="24" t="str">
        <f>"n="&amp;B8</f>
        <v>n=8</v>
      </c>
      <c r="S14" s="38"/>
    </row>
    <row r="15" spans="1:19" x14ac:dyDescent="0.55000000000000004">
      <c r="F15" s="8">
        <v>8.9163237311385452E-2</v>
      </c>
      <c r="G15" s="8">
        <v>8.1087235543458452E-3</v>
      </c>
      <c r="H15" s="8">
        <v>7.3722613588818882E-38</v>
      </c>
      <c r="I15" s="8">
        <v>2.7304671699562546E-38</v>
      </c>
      <c r="J15" s="8">
        <v>13</v>
      </c>
      <c r="K15" s="8">
        <v>4.8148148148148149</v>
      </c>
      <c r="M15" s="36"/>
      <c r="N15" s="26" t="str">
        <f>"μ="&amp;ROUND(E6,3)</f>
        <v>μ=0.286</v>
      </c>
      <c r="O15" s="37"/>
      <c r="P15" s="26" t="str">
        <f>"μ="&amp;ROUND(E7,3)</f>
        <v>μ=0.077</v>
      </c>
      <c r="Q15" s="37"/>
      <c r="R15" s="26" t="str">
        <f>"μ="&amp;ROUND(E8,3)</f>
        <v>μ=0.167</v>
      </c>
      <c r="S15" s="38"/>
    </row>
    <row r="16" spans="1:19" x14ac:dyDescent="0.55000000000000004">
      <c r="F16" s="8">
        <v>0.48549999999999999</v>
      </c>
      <c r="G16" s="8">
        <v>0.13888486962334842</v>
      </c>
      <c r="H16" s="8">
        <v>0.46640274404730425</v>
      </c>
      <c r="I16" s="8">
        <v>0.15095902148997747</v>
      </c>
      <c r="J16" s="8">
        <v>6.4664027440473042</v>
      </c>
      <c r="K16" s="8">
        <v>2.0929590214899774</v>
      </c>
      <c r="M16" s="15" t="str">
        <f>"λ="&amp;ROUND(B3,2)</f>
        <v>λ=0.37</v>
      </c>
      <c r="N16" s="37"/>
      <c r="O16" s="37"/>
      <c r="P16" s="37"/>
      <c r="Q16" s="37"/>
      <c r="R16" s="37"/>
      <c r="S16" s="38"/>
    </row>
    <row r="17" spans="2:19" x14ac:dyDescent="0.55000000000000004">
      <c r="F17" s="8">
        <v>0.23351851851851849</v>
      </c>
      <c r="G17" s="8">
        <v>0.76648148148148154</v>
      </c>
      <c r="H17" s="8">
        <v>1.5233148103406613</v>
      </c>
      <c r="I17" s="8">
        <v>7.1144443549613842E-2</v>
      </c>
      <c r="J17" s="8">
        <v>6.5233148103406613</v>
      </c>
      <c r="K17" s="8">
        <v>0.30466296206813231</v>
      </c>
      <c r="M17" s="36"/>
      <c r="N17" s="37"/>
      <c r="O17" s="37"/>
      <c r="P17" s="37"/>
      <c r="Q17" s="37"/>
      <c r="R17" s="37"/>
      <c r="S17" s="38"/>
    </row>
    <row r="18" spans="2:19" x14ac:dyDescent="0.55000000000000004">
      <c r="M18" s="36"/>
      <c r="N18" s="37"/>
      <c r="O18" s="37"/>
      <c r="P18" s="37"/>
      <c r="Q18" s="37"/>
      <c r="R18" s="37"/>
      <c r="S18" s="38"/>
    </row>
    <row r="19" spans="2:19" x14ac:dyDescent="0.55000000000000004">
      <c r="B19" s="7">
        <v>3</v>
      </c>
      <c r="C19" s="7">
        <v>54</v>
      </c>
      <c r="D19" s="7">
        <v>5</v>
      </c>
      <c r="E19" s="7">
        <v>1</v>
      </c>
      <c r="F19" s="8">
        <v>0.43209876543209874</v>
      </c>
      <c r="G19" s="8">
        <v>0.26484699861392474</v>
      </c>
      <c r="H19" s="8">
        <v>0.34782261017907706</v>
      </c>
      <c r="I19" s="8">
        <v>0.12882318895521372</v>
      </c>
      <c r="J19" s="8">
        <v>3.8478226101790769</v>
      </c>
      <c r="K19" s="8">
        <v>1.4251194852515099</v>
      </c>
      <c r="M19" s="36"/>
      <c r="N19" s="37"/>
      <c r="O19" s="37"/>
      <c r="P19" s="37"/>
      <c r="Q19" s="37"/>
      <c r="R19" s="37"/>
      <c r="S19" s="38"/>
    </row>
    <row r="20" spans="2:19" x14ac:dyDescent="0.55000000000000004">
      <c r="F20" s="8">
        <v>8.9163237311385452E-2</v>
      </c>
      <c r="G20" s="8">
        <v>8.1087235543458452E-3</v>
      </c>
      <c r="H20" s="8">
        <v>7.3722613588818882E-38</v>
      </c>
      <c r="I20" s="8">
        <v>2.7304671699562546E-38</v>
      </c>
      <c r="J20" s="8">
        <v>13</v>
      </c>
      <c r="K20" s="8">
        <v>4.8148148148148149</v>
      </c>
      <c r="M20" s="36"/>
      <c r="N20" s="37"/>
      <c r="O20" s="37"/>
      <c r="P20" s="37"/>
      <c r="Q20" s="37"/>
      <c r="R20" s="24" t="str">
        <f>"n="&amp;B9</f>
        <v>n=1</v>
      </c>
      <c r="S20" s="38"/>
    </row>
    <row r="21" spans="2:19" x14ac:dyDescent="0.55000000000000004">
      <c r="F21" s="8">
        <v>0.38840000000000002</v>
      </c>
      <c r="G21" s="8">
        <v>0.14250425478412684</v>
      </c>
      <c r="H21" s="8">
        <v>0.10522986318598809</v>
      </c>
      <c r="I21" s="8">
        <v>3.4059399051198147E-2</v>
      </c>
      <c r="J21" s="8">
        <v>6.105229863185988</v>
      </c>
      <c r="K21" s="8">
        <v>1.9760593990511981</v>
      </c>
      <c r="M21" s="36"/>
      <c r="N21" s="37"/>
      <c r="O21" s="37"/>
      <c r="P21" s="37"/>
      <c r="Q21" s="37"/>
      <c r="R21" s="26" t="str">
        <f>"μ="&amp;ROUND(E9,3)</f>
        <v>μ=0.2</v>
      </c>
      <c r="S21" s="38"/>
    </row>
    <row r="22" spans="2:19" x14ac:dyDescent="0.55000000000000004">
      <c r="F22" s="8">
        <v>0.23351851851851849</v>
      </c>
      <c r="G22" s="8">
        <v>0.76648148148148154</v>
      </c>
      <c r="H22" s="8">
        <v>1.5233148103406613</v>
      </c>
      <c r="I22" s="8">
        <v>7.1144443549613842E-2</v>
      </c>
      <c r="J22" s="8">
        <v>6.5233148103406613</v>
      </c>
      <c r="K22" s="8">
        <v>0.30466296206813231</v>
      </c>
      <c r="M22" s="36"/>
      <c r="N22" s="37"/>
      <c r="O22" s="37"/>
      <c r="P22" s="37"/>
      <c r="Q22" s="37"/>
      <c r="R22" s="37"/>
      <c r="S22" s="38"/>
    </row>
    <row r="23" spans="2:19" x14ac:dyDescent="0.55000000000000004">
      <c r="M23" s="36"/>
      <c r="N23" s="37"/>
      <c r="O23" s="37"/>
      <c r="P23" s="37"/>
      <c r="Q23" s="37"/>
      <c r="R23" s="37"/>
      <c r="S23" s="38"/>
    </row>
    <row r="24" spans="2:19" x14ac:dyDescent="0.55000000000000004">
      <c r="B24" s="7">
        <v>4</v>
      </c>
      <c r="C24" s="7">
        <v>54</v>
      </c>
      <c r="D24" s="7">
        <v>5</v>
      </c>
      <c r="E24" s="7">
        <v>1</v>
      </c>
      <c r="F24" s="8">
        <v>0.32407407407407407</v>
      </c>
      <c r="G24" s="8">
        <v>0.27221273552051301</v>
      </c>
      <c r="H24" s="8">
        <v>6.1337230483034112E-2</v>
      </c>
      <c r="I24" s="8">
        <v>2.2717492771494114E-2</v>
      </c>
      <c r="J24" s="8">
        <v>3.561337230483034</v>
      </c>
      <c r="K24" s="8">
        <v>1.3190137890677902</v>
      </c>
      <c r="M24" s="36"/>
      <c r="N24" s="37"/>
      <c r="O24" s="37"/>
      <c r="P24" s="37"/>
      <c r="Q24" s="37"/>
      <c r="R24" s="37"/>
      <c r="S24" s="38"/>
    </row>
    <row r="25" spans="2:19" ht="14.7" thickBot="1" x14ac:dyDescent="0.6">
      <c r="F25" s="8">
        <v>8.9163237311385452E-2</v>
      </c>
      <c r="G25" s="8">
        <v>8.1087235543458452E-3</v>
      </c>
      <c r="H25" s="8">
        <v>7.3722613588818882E-38</v>
      </c>
      <c r="I25" s="8">
        <v>2.7304671699562546E-38</v>
      </c>
      <c r="J25" s="8">
        <v>13</v>
      </c>
      <c r="K25" s="8">
        <v>4.8148148148148149</v>
      </c>
      <c r="M25" s="39"/>
      <c r="N25" s="29"/>
      <c r="O25" s="29"/>
      <c r="P25" s="29"/>
      <c r="Q25" s="29"/>
      <c r="R25" s="29"/>
      <c r="S25" s="31"/>
    </row>
    <row r="26" spans="2:19" x14ac:dyDescent="0.55000000000000004">
      <c r="F26" s="8">
        <v>0.38840000000000002</v>
      </c>
      <c r="G26" s="8">
        <v>0.14250425478412684</v>
      </c>
      <c r="H26" s="8">
        <v>0.10522986318598809</v>
      </c>
      <c r="I26" s="8">
        <v>3.4059399051198147E-2</v>
      </c>
      <c r="J26" s="8">
        <v>6.105229863185988</v>
      </c>
      <c r="K26" s="8">
        <v>1.9760593990511981</v>
      </c>
    </row>
    <row r="27" spans="2:19" x14ac:dyDescent="0.55000000000000004">
      <c r="F27" s="8">
        <v>0.23351851851851849</v>
      </c>
      <c r="G27" s="8">
        <v>0.76648148148148154</v>
      </c>
      <c r="H27" s="8">
        <v>1.5233148103406613</v>
      </c>
      <c r="I27" s="8">
        <v>7.1144443549613842E-2</v>
      </c>
      <c r="J27" s="8">
        <v>6.5233148103406613</v>
      </c>
      <c r="K27" s="8">
        <v>0.30466296206813231</v>
      </c>
    </row>
    <row r="29" spans="2:19" x14ac:dyDescent="0.55000000000000004">
      <c r="B29" s="7">
        <v>4</v>
      </c>
      <c r="C29" s="7">
        <v>54</v>
      </c>
      <c r="D29" s="7">
        <v>6</v>
      </c>
      <c r="E29" s="7">
        <v>1</v>
      </c>
      <c r="F29" s="8">
        <v>0.32407407407407407</v>
      </c>
      <c r="G29" s="8">
        <v>0.27221273552051301</v>
      </c>
      <c r="H29" s="8">
        <v>6.1337230483034112E-2</v>
      </c>
      <c r="I29" s="8">
        <v>2.2717492771494114E-2</v>
      </c>
      <c r="J29" s="8">
        <v>3.561337230483034</v>
      </c>
      <c r="K29" s="8">
        <v>1.3190137890677902</v>
      </c>
    </row>
    <row r="30" spans="2:19" x14ac:dyDescent="0.55000000000000004">
      <c r="F30" s="8">
        <v>8.9163237311385452E-2</v>
      </c>
      <c r="G30" s="8">
        <v>8.1087235543458452E-3</v>
      </c>
      <c r="H30" s="8">
        <v>7.3722613588818882E-38</v>
      </c>
      <c r="I30" s="8">
        <v>2.7304671699562546E-38</v>
      </c>
      <c r="J30" s="8">
        <v>13</v>
      </c>
      <c r="K30" s="8">
        <v>4.8148148148148149</v>
      </c>
    </row>
    <row r="31" spans="2:19" x14ac:dyDescent="0.55000000000000004">
      <c r="F31" s="8">
        <v>0.32366666666666666</v>
      </c>
      <c r="G31" s="8">
        <v>0.14323953914703128</v>
      </c>
      <c r="H31" s="8">
        <v>2.3329433195133222E-2</v>
      </c>
      <c r="I31" s="8">
        <v>7.5509598774914531E-3</v>
      </c>
      <c r="J31" s="8">
        <v>6.0233294331951335</v>
      </c>
      <c r="K31" s="8">
        <v>1.9495509598774914</v>
      </c>
    </row>
    <row r="32" spans="2:19" x14ac:dyDescent="0.55000000000000004">
      <c r="F32" s="8">
        <v>0.23351851851851849</v>
      </c>
      <c r="G32" s="8">
        <v>0.76648148148148154</v>
      </c>
      <c r="H32" s="8">
        <v>1.5233148103406613</v>
      </c>
      <c r="I32" s="8">
        <v>7.1144443549613842E-2</v>
      </c>
      <c r="J32" s="8">
        <v>6.5233148103406613</v>
      </c>
      <c r="K32" s="8">
        <v>0.30466296206813231</v>
      </c>
    </row>
    <row r="34" spans="2:11" x14ac:dyDescent="0.55000000000000004">
      <c r="B34" s="7">
        <v>5</v>
      </c>
      <c r="C34" s="7">
        <v>54</v>
      </c>
      <c r="D34" s="7">
        <v>6</v>
      </c>
      <c r="E34" s="7">
        <v>1</v>
      </c>
      <c r="F34" s="8">
        <v>0.2592592592592593</v>
      </c>
      <c r="G34" s="8">
        <v>0.27334601235140998</v>
      </c>
      <c r="H34" s="8">
        <v>1.0636983230800322E-2</v>
      </c>
      <c r="I34" s="8">
        <v>3.9396234188149339E-3</v>
      </c>
      <c r="J34" s="8">
        <v>3.5106369832308002</v>
      </c>
      <c r="K34" s="8">
        <v>1.3002359197151112</v>
      </c>
    </row>
    <row r="35" spans="2:11" x14ac:dyDescent="0.55000000000000004">
      <c r="F35" s="8">
        <v>8.9163237311385452E-2</v>
      </c>
      <c r="G35" s="8">
        <v>8.1087235543458452E-3</v>
      </c>
      <c r="H35" s="8">
        <v>7.3722613588818882E-38</v>
      </c>
      <c r="I35" s="8">
        <v>2.7304671699562546E-38</v>
      </c>
      <c r="J35" s="8">
        <v>13</v>
      </c>
      <c r="K35" s="8">
        <v>4.8148148148148149</v>
      </c>
    </row>
    <row r="36" spans="2:11" x14ac:dyDescent="0.55000000000000004">
      <c r="F36" s="8">
        <v>0.32366666666666666</v>
      </c>
      <c r="G36" s="8">
        <v>0.14323953914703128</v>
      </c>
      <c r="H36" s="8">
        <v>2.3329433195133222E-2</v>
      </c>
      <c r="I36" s="8">
        <v>7.5509598774914531E-3</v>
      </c>
      <c r="J36" s="8">
        <v>6.0233294331951335</v>
      </c>
      <c r="K36" s="8">
        <v>1.9495509598774914</v>
      </c>
    </row>
    <row r="37" spans="2:11" x14ac:dyDescent="0.55000000000000004">
      <c r="F37" s="8">
        <v>0.23351851851851849</v>
      </c>
      <c r="G37" s="8">
        <v>0.76648148148148154</v>
      </c>
      <c r="H37" s="8">
        <v>1.5233148103406613</v>
      </c>
      <c r="I37" s="8">
        <v>7.1144443549613842E-2</v>
      </c>
      <c r="J37" s="8">
        <v>6.5233148103406613</v>
      </c>
      <c r="K37" s="8">
        <v>0.30466296206813231</v>
      </c>
    </row>
    <row r="39" spans="2:11" x14ac:dyDescent="0.55000000000000004">
      <c r="B39" s="7">
        <v>5</v>
      </c>
      <c r="C39" s="7">
        <v>54</v>
      </c>
      <c r="D39" s="7">
        <v>7</v>
      </c>
      <c r="E39" s="7">
        <v>1</v>
      </c>
      <c r="F39" s="8">
        <v>0.2592592592592593</v>
      </c>
      <c r="G39" s="8">
        <v>0.27334601235140998</v>
      </c>
      <c r="H39" s="8">
        <v>1.0636983230800322E-2</v>
      </c>
      <c r="I39" s="8">
        <v>3.9396234188149339E-3</v>
      </c>
      <c r="J39" s="8">
        <v>3.5106369832308002</v>
      </c>
      <c r="K39" s="8">
        <v>1.3002359197151112</v>
      </c>
    </row>
    <row r="40" spans="2:11" x14ac:dyDescent="0.55000000000000004">
      <c r="F40" s="8">
        <v>8.9163237311385452E-2</v>
      </c>
      <c r="G40" s="8">
        <v>8.1087235543458452E-3</v>
      </c>
      <c r="H40" s="8">
        <v>7.3722613588818882E-38</v>
      </c>
      <c r="I40" s="8">
        <v>2.7304671699562546E-38</v>
      </c>
      <c r="J40" s="8">
        <v>13</v>
      </c>
      <c r="K40" s="8">
        <v>4.8148148148148149</v>
      </c>
    </row>
    <row r="41" spans="2:11" x14ac:dyDescent="0.55000000000000004">
      <c r="F41" s="8">
        <v>0.27742857142857147</v>
      </c>
      <c r="G41" s="8">
        <v>0.1433843115441174</v>
      </c>
      <c r="H41" s="8">
        <v>4.8652741645389373E-3</v>
      </c>
      <c r="I41" s="8">
        <v>1.5747270712557692E-3</v>
      </c>
      <c r="J41" s="8">
        <v>6.0048652741645387</v>
      </c>
      <c r="K41" s="8">
        <v>1.9435747270712556</v>
      </c>
    </row>
    <row r="42" spans="2:11" x14ac:dyDescent="0.55000000000000004">
      <c r="F42" s="8">
        <v>0.23351851851851849</v>
      </c>
      <c r="G42" s="8">
        <v>0.76648148148148154</v>
      </c>
      <c r="H42" s="8">
        <v>1.5233148103406613</v>
      </c>
      <c r="I42" s="8">
        <v>7.1144443549613842E-2</v>
      </c>
      <c r="J42" s="8">
        <v>6.5233148103406613</v>
      </c>
      <c r="K42" s="8">
        <v>0.30466296206813231</v>
      </c>
    </row>
    <row r="44" spans="2:11" x14ac:dyDescent="0.55000000000000004">
      <c r="B44" s="7">
        <v>5</v>
      </c>
      <c r="C44" s="7">
        <v>54</v>
      </c>
      <c r="D44" s="7">
        <v>8</v>
      </c>
      <c r="E44" s="7">
        <v>1</v>
      </c>
      <c r="F44" s="8">
        <v>0.2592592592592593</v>
      </c>
      <c r="G44" s="8">
        <v>0.27334601235140998</v>
      </c>
      <c r="H44" s="8">
        <v>1.0636983230800322E-2</v>
      </c>
      <c r="I44" s="8">
        <v>3.9396234188149339E-3</v>
      </c>
      <c r="J44" s="8">
        <v>3.5106369832308002</v>
      </c>
      <c r="K44" s="8">
        <v>1.3002359197151112</v>
      </c>
    </row>
    <row r="45" spans="2:11" x14ac:dyDescent="0.55000000000000004">
      <c r="F45" s="8">
        <v>8.9163237311385452E-2</v>
      </c>
      <c r="G45" s="8">
        <v>8.1087235543458452E-3</v>
      </c>
      <c r="H45" s="8">
        <v>7.3722613588818882E-38</v>
      </c>
      <c r="I45" s="8">
        <v>2.7304671699562546E-38</v>
      </c>
      <c r="J45" s="8">
        <v>13</v>
      </c>
      <c r="K45" s="8">
        <v>4.8148148148148149</v>
      </c>
    </row>
    <row r="46" spans="2:11" x14ac:dyDescent="0.55000000000000004">
      <c r="F46" s="8">
        <v>0.24274999999999999</v>
      </c>
      <c r="G46" s="8">
        <v>0.14341124797339283</v>
      </c>
      <c r="H46" s="8">
        <v>9.4110741576805036E-4</v>
      </c>
      <c r="I46" s="8">
        <v>3.0460510023692564E-4</v>
      </c>
      <c r="J46" s="8">
        <v>6.0009411074157679</v>
      </c>
      <c r="K46" s="8">
        <v>1.9423046051002368</v>
      </c>
    </row>
    <row r="47" spans="2:11" x14ac:dyDescent="0.55000000000000004">
      <c r="F47" s="8">
        <v>0.23351851851851849</v>
      </c>
      <c r="G47" s="8">
        <v>0.76648148148148154</v>
      </c>
      <c r="H47" s="8">
        <v>1.5233148103406613</v>
      </c>
      <c r="I47" s="8">
        <v>7.1144443549613842E-2</v>
      </c>
      <c r="J47" s="8">
        <v>6.5233148103406613</v>
      </c>
      <c r="K47" s="8">
        <v>0.30466296206813231</v>
      </c>
    </row>
  </sheetData>
  <mergeCells count="2">
    <mergeCell ref="M1:R1"/>
    <mergeCell ref="A1:C1"/>
  </mergeCells>
  <conditionalFormatting sqref="R3:R7">
    <cfRule type="cellIs" dxfId="8" priority="29" operator="lessThan">
      <formula>0</formula>
    </cfRule>
  </conditionalFormatting>
  <conditionalFormatting sqref="F6:F9">
    <cfRule type="colorScale" priority="22">
      <colorScale>
        <cfvo type="min"/>
        <cfvo type="percentile" val="50"/>
        <cfvo type="max"/>
        <color rgb="FF63BE7B"/>
        <color rgb="FFFCFCFF"/>
        <color rgb="FFF8696B"/>
      </colorScale>
    </cfRule>
    <cfRule type="cellIs" dxfId="7" priority="26" operator="greaterThanOrEqual">
      <formula>1</formula>
    </cfRule>
  </conditionalFormatting>
  <conditionalFormatting sqref="F11:K1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6:H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:F17">
    <cfRule type="colorScale" priority="19">
      <colorScale>
        <cfvo type="min"/>
        <cfvo type="percentile" val="50"/>
        <cfvo type="max"/>
        <color rgb="FF63BE7B"/>
        <color rgb="FFFCFCFF"/>
        <color rgb="FFF8696B"/>
      </colorScale>
    </cfRule>
    <cfRule type="cellIs" dxfId="6" priority="21" operator="greaterThanOrEqual">
      <formula>1</formula>
    </cfRule>
  </conditionalFormatting>
  <conditionalFormatting sqref="H14:H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9:F22">
    <cfRule type="colorScale" priority="16">
      <colorScale>
        <cfvo type="min"/>
        <cfvo type="percentile" val="50"/>
        <cfvo type="max"/>
        <color rgb="FF63BE7B"/>
        <color rgb="FFFCFCFF"/>
        <color rgb="FFF8696B"/>
      </colorScale>
    </cfRule>
    <cfRule type="cellIs" dxfId="5" priority="18" operator="greaterThanOrEqual">
      <formula>1</formula>
    </cfRule>
  </conditionalFormatting>
  <conditionalFormatting sqref="H19:H2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4:F27">
    <cfRule type="colorScale" priority="13">
      <colorScale>
        <cfvo type="min"/>
        <cfvo type="percentile" val="50"/>
        <cfvo type="max"/>
        <color rgb="FF63BE7B"/>
        <color rgb="FFFCFCFF"/>
        <color rgb="FFF8696B"/>
      </colorScale>
    </cfRule>
    <cfRule type="cellIs" dxfId="4" priority="15" operator="greaterThanOrEqual">
      <formula>1</formula>
    </cfRule>
  </conditionalFormatting>
  <conditionalFormatting sqref="H24:H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9:F32">
    <cfRule type="colorScale" priority="10">
      <colorScale>
        <cfvo type="min"/>
        <cfvo type="percentile" val="50"/>
        <cfvo type="max"/>
        <color rgb="FF63BE7B"/>
        <color rgb="FFFCFCFF"/>
        <color rgb="FFF8696B"/>
      </colorScale>
    </cfRule>
    <cfRule type="cellIs" dxfId="3" priority="12" operator="greaterThanOrEqual">
      <formula>1</formula>
    </cfRule>
  </conditionalFormatting>
  <conditionalFormatting sqref="H29:H3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4:F37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  <cfRule type="cellIs" dxfId="2" priority="9" operator="greaterThanOrEqual">
      <formula>1</formula>
    </cfRule>
  </conditionalFormatting>
  <conditionalFormatting sqref="H34:H3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9:F42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  <cfRule type="cellIs" dxfId="1" priority="6" operator="greaterThanOrEqual">
      <formula>1</formula>
    </cfRule>
  </conditionalFormatting>
  <conditionalFormatting sqref="H39:H4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47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  <cfRule type="cellIs" dxfId="0" priority="3" operator="greaterThanOrEqual">
      <formula>1</formula>
    </cfRule>
  </conditionalFormatting>
  <conditionalFormatting sqref="H44:H4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98"/>
  <sheetViews>
    <sheetView workbookViewId="0">
      <selection activeCell="L27" sqref="L27"/>
    </sheetView>
  </sheetViews>
  <sheetFormatPr defaultRowHeight="14.4" x14ac:dyDescent="0.55000000000000004"/>
  <cols>
    <col min="1" max="1" width="16.41796875" bestFit="1" customWidth="1"/>
    <col min="2" max="3" width="11" style="42" customWidth="1"/>
    <col min="4" max="5" width="7.68359375" bestFit="1" customWidth="1"/>
    <col min="6" max="6" width="6" customWidth="1"/>
    <col min="7" max="7" width="7.68359375" bestFit="1" customWidth="1"/>
    <col min="8" max="8" width="8.41796875" customWidth="1"/>
    <col min="9" max="9" width="8.26171875" customWidth="1"/>
    <col min="10" max="10" width="6.578125" bestFit="1" customWidth="1"/>
    <col min="11" max="11" width="5.578125" bestFit="1" customWidth="1"/>
    <col min="12" max="12" width="18.15625" bestFit="1" customWidth="1"/>
    <col min="13" max="13" width="17.26171875" bestFit="1" customWidth="1"/>
    <col min="14" max="14" width="15.578125" bestFit="1" customWidth="1"/>
    <col min="15" max="15" width="11.68359375" bestFit="1" customWidth="1"/>
    <col min="16" max="16" width="5.68359375" bestFit="1" customWidth="1"/>
    <col min="17" max="17" width="6.41796875" customWidth="1"/>
    <col min="18" max="18" width="7.41796875" bestFit="1" customWidth="1"/>
    <col min="19" max="21" width="6.68359375" bestFit="1" customWidth="1"/>
    <col min="22" max="22" width="17.68359375" bestFit="1" customWidth="1"/>
    <col min="23" max="23" width="16.83984375" bestFit="1" customWidth="1"/>
    <col min="24" max="24" width="15.578125" bestFit="1" customWidth="1"/>
    <col min="25" max="25" width="11.41796875" bestFit="1" customWidth="1"/>
    <col min="26" max="29" width="5.578125" bestFit="1" customWidth="1"/>
    <col min="30" max="30" width="6.578125" bestFit="1" customWidth="1"/>
    <col min="31" max="31" width="5.578125" bestFit="1" customWidth="1"/>
  </cols>
  <sheetData>
    <row r="1" spans="1:26" x14ac:dyDescent="0.55000000000000004">
      <c r="A1" t="s">
        <v>14</v>
      </c>
      <c r="B1" s="42">
        <v>2.7</v>
      </c>
    </row>
    <row r="3" spans="1:26" x14ac:dyDescent="0.55000000000000004">
      <c r="B3" s="42" t="s">
        <v>152</v>
      </c>
      <c r="C3" s="42" t="s">
        <v>153</v>
      </c>
      <c r="D3" t="s">
        <v>154</v>
      </c>
      <c r="E3" t="s">
        <v>155</v>
      </c>
      <c r="F3" t="s">
        <v>156</v>
      </c>
      <c r="G3" t="s">
        <v>157</v>
      </c>
      <c r="J3" t="s">
        <v>152</v>
      </c>
      <c r="K3" t="s">
        <v>153</v>
      </c>
      <c r="L3" t="s">
        <v>154</v>
      </c>
      <c r="M3" t="s">
        <v>155</v>
      </c>
      <c r="N3" t="s">
        <v>156</v>
      </c>
      <c r="O3" t="s">
        <v>157</v>
      </c>
      <c r="R3" t="s">
        <v>158</v>
      </c>
      <c r="S3" t="s">
        <v>159</v>
      </c>
      <c r="T3" t="s">
        <v>160</v>
      </c>
      <c r="U3" t="s">
        <v>161</v>
      </c>
      <c r="V3" t="s">
        <v>162</v>
      </c>
      <c r="W3" t="s">
        <v>163</v>
      </c>
      <c r="X3" t="s">
        <v>165</v>
      </c>
      <c r="Y3" t="s">
        <v>166</v>
      </c>
      <c r="Z3" t="s">
        <v>167</v>
      </c>
    </row>
    <row r="4" spans="1:26" x14ac:dyDescent="0.55000000000000004">
      <c r="A4" t="s">
        <v>140</v>
      </c>
      <c r="B4" s="41">
        <v>0.51851851851851849</v>
      </c>
      <c r="C4" s="41">
        <v>0.51851851851851849</v>
      </c>
      <c r="D4" s="41">
        <v>0.34567901234567899</v>
      </c>
      <c r="E4" s="41">
        <v>0.34567901234567899</v>
      </c>
      <c r="F4" s="41">
        <v>0.25925925925925924</v>
      </c>
      <c r="G4" s="41">
        <v>0.25925925925925924</v>
      </c>
      <c r="I4" t="s">
        <v>140</v>
      </c>
      <c r="J4">
        <v>0.60869565217391319</v>
      </c>
      <c r="K4">
        <v>0.60869565217391319</v>
      </c>
      <c r="L4">
        <v>0.40579710144927544</v>
      </c>
      <c r="M4">
        <v>0.40579710144927544</v>
      </c>
      <c r="N4">
        <v>0.3043478260869566</v>
      </c>
      <c r="O4">
        <v>0.3043478260869566</v>
      </c>
      <c r="Q4" t="s">
        <v>140</v>
      </c>
      <c r="R4">
        <v>0.875</v>
      </c>
      <c r="S4">
        <v>0.96551724137931061</v>
      </c>
      <c r="T4">
        <v>0.7777777777777779</v>
      </c>
      <c r="U4">
        <v>0.98245614035087714</v>
      </c>
      <c r="V4">
        <v>0.76086956521739135</v>
      </c>
      <c r="W4">
        <v>0.82352941176470607</v>
      </c>
      <c r="X4">
        <v>0.82352941176470607</v>
      </c>
      <c r="Y4">
        <v>0.875</v>
      </c>
      <c r="Z4">
        <v>0.89743589743589736</v>
      </c>
    </row>
    <row r="5" spans="1:26" x14ac:dyDescent="0.55000000000000004">
      <c r="A5" t="s">
        <v>79</v>
      </c>
      <c r="B5" s="41">
        <v>0.25925925925925924</v>
      </c>
      <c r="C5" s="41">
        <v>0.25925925925925924</v>
      </c>
      <c r="D5" s="41">
        <v>0.25925925925925924</v>
      </c>
      <c r="E5" s="41">
        <v>0.25925925925925924</v>
      </c>
      <c r="F5" s="41">
        <v>0.25925925925925924</v>
      </c>
      <c r="G5" s="41">
        <v>0.25925925925925924</v>
      </c>
      <c r="I5" t="s">
        <v>79</v>
      </c>
      <c r="J5">
        <v>0.3043478260869566</v>
      </c>
      <c r="K5">
        <v>0.3043478260869566</v>
      </c>
      <c r="L5">
        <v>0.3043478260869566</v>
      </c>
      <c r="M5">
        <v>0.3043478260869566</v>
      </c>
      <c r="N5">
        <v>0.3043478260869566</v>
      </c>
      <c r="O5">
        <v>0.3043478260869566</v>
      </c>
      <c r="Q5" t="s">
        <v>79</v>
      </c>
      <c r="R5">
        <v>0.4375</v>
      </c>
      <c r="S5">
        <v>0.4827586206896553</v>
      </c>
      <c r="T5">
        <v>0.58333333333333348</v>
      </c>
      <c r="U5">
        <v>0.73684210526315785</v>
      </c>
      <c r="V5">
        <v>0.76086956521739135</v>
      </c>
      <c r="W5">
        <v>0.82352941176470607</v>
      </c>
      <c r="X5">
        <v>0.82352941176470607</v>
      </c>
      <c r="Y5">
        <v>0.875</v>
      </c>
      <c r="Z5">
        <v>0.89743589743589736</v>
      </c>
    </row>
    <row r="6" spans="1:26" x14ac:dyDescent="0.55000000000000004">
      <c r="A6" t="s">
        <v>145</v>
      </c>
      <c r="B6" s="41">
        <v>0.20370370370370369</v>
      </c>
      <c r="C6" s="41">
        <v>0.20370370370370369</v>
      </c>
      <c r="D6" s="41">
        <v>0.20370370370370369</v>
      </c>
      <c r="E6" s="41">
        <v>0.20370370370370369</v>
      </c>
      <c r="F6" s="41">
        <v>0.20370370370370369</v>
      </c>
      <c r="G6" s="41">
        <v>0.20370370370370369</v>
      </c>
      <c r="I6" t="s">
        <v>145</v>
      </c>
      <c r="J6">
        <v>0.23913043478260873</v>
      </c>
      <c r="K6">
        <v>0.23913043478260873</v>
      </c>
      <c r="L6">
        <v>0.23913043478260873</v>
      </c>
      <c r="M6">
        <v>0.23913043478260873</v>
      </c>
      <c r="N6">
        <v>0.23913043478260873</v>
      </c>
      <c r="O6">
        <v>0.23913043478260873</v>
      </c>
      <c r="Q6" t="s">
        <v>145</v>
      </c>
      <c r="R6">
        <v>0.34375</v>
      </c>
      <c r="S6">
        <v>0.3793103448275863</v>
      </c>
      <c r="T6">
        <v>0.45833333333333337</v>
      </c>
      <c r="U6">
        <v>0.57894736842105265</v>
      </c>
      <c r="V6">
        <v>0.59782608695652173</v>
      </c>
      <c r="W6">
        <v>0.64705882352941191</v>
      </c>
      <c r="X6">
        <v>0.49019607843137264</v>
      </c>
      <c r="Y6">
        <v>0.52083333333333326</v>
      </c>
      <c r="Z6">
        <v>0.53418803418803407</v>
      </c>
    </row>
    <row r="7" spans="1:26" x14ac:dyDescent="0.55000000000000004">
      <c r="A7" t="s">
        <v>150</v>
      </c>
      <c r="B7" s="41">
        <v>0.29629629629629628</v>
      </c>
      <c r="C7" s="41">
        <v>0.29629629629629628</v>
      </c>
      <c r="D7" s="41">
        <v>0.29629629629629628</v>
      </c>
      <c r="E7" s="41">
        <v>0.29629629629629628</v>
      </c>
      <c r="F7" s="41">
        <v>0.29629629629629628</v>
      </c>
      <c r="G7" s="41">
        <v>0.29629629629629628</v>
      </c>
      <c r="I7" t="s">
        <v>150</v>
      </c>
      <c r="J7">
        <v>0.34782608695652178</v>
      </c>
      <c r="K7">
        <v>0.34782608695652178</v>
      </c>
      <c r="L7">
        <v>0.34782608695652178</v>
      </c>
      <c r="M7">
        <v>0.34782608695652178</v>
      </c>
      <c r="N7">
        <v>0.34782608695652178</v>
      </c>
      <c r="O7">
        <v>0.34782608695652178</v>
      </c>
      <c r="Q7" t="s">
        <v>150</v>
      </c>
      <c r="R7">
        <v>0.5</v>
      </c>
      <c r="S7">
        <v>0.55172413793103459</v>
      </c>
      <c r="T7">
        <v>0.66666666666666674</v>
      </c>
      <c r="U7">
        <v>0.84210526315789469</v>
      </c>
      <c r="V7">
        <v>0.86956521739130432</v>
      </c>
      <c r="W7">
        <v>0.94117647058823539</v>
      </c>
      <c r="X7">
        <v>0.62745098039215697</v>
      </c>
      <c r="Y7">
        <v>0.66666666666666663</v>
      </c>
      <c r="Z7">
        <v>0.68376068376068366</v>
      </c>
    </row>
    <row r="8" spans="1:26" x14ac:dyDescent="0.55000000000000004">
      <c r="A8" t="s">
        <v>146</v>
      </c>
      <c r="B8" s="41">
        <v>6.4825485462413804E-2</v>
      </c>
      <c r="C8" s="41">
        <v>6.4825485462413804E-2</v>
      </c>
      <c r="D8" s="41">
        <v>6.4825485462413804E-2</v>
      </c>
      <c r="E8" s="41">
        <v>6.4825485462413804E-2</v>
      </c>
      <c r="F8" s="41">
        <v>6.4825485462413804E-2</v>
      </c>
      <c r="G8" s="41">
        <v>6.4825485462413804E-2</v>
      </c>
      <c r="I8" t="s">
        <v>146</v>
      </c>
      <c r="J8">
        <v>7.6099482934137958E-2</v>
      </c>
      <c r="K8">
        <v>7.6099482934137958E-2</v>
      </c>
      <c r="L8">
        <v>7.6099482934137958E-2</v>
      </c>
      <c r="M8">
        <v>7.6099482934137958E-2</v>
      </c>
      <c r="N8">
        <v>7.6099482934137958E-2</v>
      </c>
      <c r="O8">
        <v>7.6099482934137958E-2</v>
      </c>
      <c r="Q8" t="s">
        <v>146</v>
      </c>
      <c r="R8">
        <v>0.10939300671782332</v>
      </c>
      <c r="S8">
        <v>0.12070952465414989</v>
      </c>
      <c r="T8">
        <v>0.1458573422904311</v>
      </c>
      <c r="U8">
        <v>0.18424085341949187</v>
      </c>
      <c r="V8">
        <v>0.19024870733534488</v>
      </c>
      <c r="W8">
        <v>0.20591624793943214</v>
      </c>
      <c r="X8">
        <v>0.20591624793943214</v>
      </c>
      <c r="Y8">
        <v>0.21878601343564663</v>
      </c>
      <c r="Z8">
        <v>0.22439591121604779</v>
      </c>
    </row>
    <row r="9" spans="1:26" x14ac:dyDescent="0.55000000000000004">
      <c r="A9" t="s">
        <v>149</v>
      </c>
      <c r="B9" s="41">
        <v>9.0539143579028883E-2</v>
      </c>
      <c r="C9" s="41">
        <v>9.0539143579028883E-2</v>
      </c>
      <c r="D9" s="41">
        <v>9.0539143579028883E-2</v>
      </c>
      <c r="E9" s="41">
        <v>9.0539143579028883E-2</v>
      </c>
      <c r="F9" s="41">
        <v>9.0539143579028883E-2</v>
      </c>
      <c r="G9" s="41">
        <v>9.0539143579028883E-2</v>
      </c>
      <c r="I9" t="s">
        <v>149</v>
      </c>
      <c r="J9">
        <v>0.10628508159277306</v>
      </c>
      <c r="K9">
        <v>0.10628508159277306</v>
      </c>
      <c r="L9">
        <v>0.10628508159277306</v>
      </c>
      <c r="M9">
        <v>0.10628508159277306</v>
      </c>
      <c r="N9">
        <v>0.10628508159277306</v>
      </c>
      <c r="O9">
        <v>0.10628508159277306</v>
      </c>
      <c r="Q9" t="s">
        <v>149</v>
      </c>
      <c r="R9">
        <v>0.15278480478961126</v>
      </c>
      <c r="S9">
        <v>0.16859012942301935</v>
      </c>
      <c r="T9">
        <v>0.20371307305281502</v>
      </c>
      <c r="U9">
        <v>0.25732177648776627</v>
      </c>
      <c r="V9">
        <v>0.26571270398193259</v>
      </c>
      <c r="W9">
        <v>0.28759492666279768</v>
      </c>
      <c r="X9">
        <v>0.28759492666279768</v>
      </c>
      <c r="Y9">
        <v>0.30556960957922252</v>
      </c>
      <c r="Z9">
        <v>0.31340472777356149</v>
      </c>
    </row>
    <row r="10" spans="1:26" x14ac:dyDescent="0.55000000000000004">
      <c r="A10" t="s">
        <v>147</v>
      </c>
      <c r="B10" s="41">
        <v>0.25885429516989233</v>
      </c>
      <c r="C10" s="41">
        <v>0.25885429516989233</v>
      </c>
      <c r="D10" s="41">
        <v>0.25885429516989233</v>
      </c>
      <c r="E10" s="41">
        <v>0.25885429516989233</v>
      </c>
      <c r="F10" s="41">
        <v>0.25885429516989233</v>
      </c>
      <c r="G10" s="41">
        <v>0.25885429516989233</v>
      </c>
      <c r="I10" t="s">
        <v>147</v>
      </c>
      <c r="J10">
        <v>0.30387243346030846</v>
      </c>
      <c r="K10">
        <v>0.30387243346030846</v>
      </c>
      <c r="L10">
        <v>0.30387243346030846</v>
      </c>
      <c r="M10">
        <v>0.30387243346030846</v>
      </c>
      <c r="N10">
        <v>0.30387243346030846</v>
      </c>
      <c r="O10">
        <v>0.30387243346030846</v>
      </c>
      <c r="Q10" t="s">
        <v>147</v>
      </c>
      <c r="R10">
        <v>0.43681662309919334</v>
      </c>
      <c r="S10">
        <v>0.48200454962669609</v>
      </c>
      <c r="T10">
        <v>0.58242216413225778</v>
      </c>
      <c r="U10">
        <v>0.7356911546933782</v>
      </c>
      <c r="V10">
        <v>0.75968108365077092</v>
      </c>
      <c r="W10">
        <v>0.82224305524554042</v>
      </c>
      <c r="X10">
        <v>0.82224305524554042</v>
      </c>
      <c r="Y10">
        <v>0.87363324619838667</v>
      </c>
      <c r="Z10">
        <v>0.89603409866501194</v>
      </c>
    </row>
    <row r="11" spans="1:26" x14ac:dyDescent="0.55000000000000004">
      <c r="A11" t="s">
        <v>151</v>
      </c>
      <c r="B11" s="41">
        <v>0.28622320496284009</v>
      </c>
      <c r="C11" s="41">
        <v>0.28622320496284009</v>
      </c>
      <c r="D11" s="41">
        <v>0.28622320496284009</v>
      </c>
      <c r="E11" s="41">
        <v>0.28622320496284009</v>
      </c>
      <c r="F11" s="41">
        <v>0.28622320496284009</v>
      </c>
      <c r="G11" s="41">
        <v>0.28622320496284009</v>
      </c>
      <c r="I11" t="s">
        <v>151</v>
      </c>
      <c r="J11">
        <v>0.33600115365202976</v>
      </c>
      <c r="K11">
        <v>0.33600115365202976</v>
      </c>
      <c r="L11">
        <v>0.33600115365202976</v>
      </c>
      <c r="M11">
        <v>0.33600115365202976</v>
      </c>
      <c r="N11">
        <v>0.33600115365202976</v>
      </c>
      <c r="O11">
        <v>0.33600115365202976</v>
      </c>
      <c r="Q11" t="s">
        <v>151</v>
      </c>
      <c r="R11">
        <v>0.48300165837479275</v>
      </c>
      <c r="S11">
        <v>0.53296734717218508</v>
      </c>
      <c r="T11">
        <v>0.64400221116639034</v>
      </c>
      <c r="U11">
        <v>0.81347647726280881</v>
      </c>
      <c r="V11">
        <v>0.84000288413007418</v>
      </c>
      <c r="W11">
        <v>0.90917959223490386</v>
      </c>
      <c r="X11">
        <v>0.90917959223490386</v>
      </c>
      <c r="Y11">
        <v>0.96600331674958551</v>
      </c>
      <c r="Z11">
        <v>0.99077263256367754</v>
      </c>
    </row>
    <row r="12" spans="1:26" x14ac:dyDescent="0.55000000000000004">
      <c r="A12" t="s">
        <v>148</v>
      </c>
      <c r="B12" s="41">
        <v>0.56733333333333325</v>
      </c>
      <c r="C12" s="41">
        <v>0.42549999999999993</v>
      </c>
      <c r="D12" s="41">
        <v>0.42549999999999993</v>
      </c>
      <c r="E12" s="41">
        <v>0.34039999999999998</v>
      </c>
      <c r="F12" s="41">
        <v>0.34039999999999998</v>
      </c>
      <c r="G12" s="41">
        <v>0.28366666666666662</v>
      </c>
      <c r="I12" t="s">
        <v>148</v>
      </c>
      <c r="J12">
        <v>0.66600000000000015</v>
      </c>
      <c r="K12">
        <v>0.49950000000000011</v>
      </c>
      <c r="L12">
        <v>0.49950000000000011</v>
      </c>
      <c r="M12">
        <v>0.39960000000000012</v>
      </c>
      <c r="N12">
        <v>0.39960000000000012</v>
      </c>
      <c r="O12">
        <v>0.33300000000000007</v>
      </c>
      <c r="Q12" t="s">
        <v>148</v>
      </c>
      <c r="R12">
        <v>0.95737499999999998</v>
      </c>
      <c r="S12">
        <v>0.79231034482758622</v>
      </c>
      <c r="T12">
        <v>0.9573750000000002</v>
      </c>
      <c r="U12">
        <v>0.96745263157894745</v>
      </c>
      <c r="V12">
        <v>0.99900000000000011</v>
      </c>
      <c r="W12">
        <v>0.90105882352941191</v>
      </c>
      <c r="X12">
        <v>0.90105882352941191</v>
      </c>
      <c r="Y12">
        <v>0.95737499999999998</v>
      </c>
      <c r="Z12">
        <v>0.98192307692307701</v>
      </c>
    </row>
    <row r="13" spans="1:26" x14ac:dyDescent="0.55000000000000004">
      <c r="A13" t="s">
        <v>83</v>
      </c>
      <c r="B13" s="41">
        <v>0.23999999999999996</v>
      </c>
      <c r="C13" s="41">
        <v>0.23999999999999996</v>
      </c>
      <c r="D13" s="41">
        <v>0.23999999999999996</v>
      </c>
      <c r="E13" s="41">
        <v>0.23999999999999996</v>
      </c>
      <c r="F13" s="41">
        <v>0.23999999999999996</v>
      </c>
      <c r="G13" s="41">
        <v>0.23999999999999996</v>
      </c>
      <c r="I13" t="s">
        <v>83</v>
      </c>
      <c r="J13">
        <v>0.28173913043478266</v>
      </c>
      <c r="K13">
        <v>0.28173913043478266</v>
      </c>
      <c r="L13">
        <v>0.28173913043478266</v>
      </c>
      <c r="M13">
        <v>0.28173913043478266</v>
      </c>
      <c r="N13">
        <v>0.28173913043478266</v>
      </c>
      <c r="O13">
        <v>0.28173913043478266</v>
      </c>
      <c r="Q13" t="s">
        <v>83</v>
      </c>
      <c r="R13">
        <v>0.40500000000000003</v>
      </c>
      <c r="S13">
        <v>0.446896551724138</v>
      </c>
      <c r="T13">
        <v>0.54</v>
      </c>
      <c r="U13">
        <v>0.68210526315789488</v>
      </c>
      <c r="V13">
        <v>0.70434782608695645</v>
      </c>
      <c r="W13">
        <v>0.76235294117647068</v>
      </c>
      <c r="X13">
        <v>0.76235294117647068</v>
      </c>
      <c r="Y13">
        <v>0.81</v>
      </c>
      <c r="Z13">
        <v>0.8307692307692307</v>
      </c>
    </row>
    <row r="14" spans="1:26" x14ac:dyDescent="0.55000000000000004">
      <c r="A14" t="s">
        <v>3</v>
      </c>
      <c r="B14" s="41">
        <v>0.23351851851851846</v>
      </c>
      <c r="C14" s="41">
        <v>0.23351851851851846</v>
      </c>
      <c r="D14" s="41">
        <v>0.23351851851851846</v>
      </c>
      <c r="E14" s="41">
        <v>0.23351851851851846</v>
      </c>
      <c r="F14" s="41">
        <v>0.23351851851851846</v>
      </c>
      <c r="G14" s="41">
        <v>0.23351851851851846</v>
      </c>
      <c r="I14" t="s">
        <v>3</v>
      </c>
      <c r="J14">
        <v>0.27413043478260868</v>
      </c>
      <c r="K14">
        <v>0.27413043478260868</v>
      </c>
      <c r="L14">
        <v>0.27413043478260868</v>
      </c>
      <c r="M14">
        <v>0.27413043478260868</v>
      </c>
      <c r="N14">
        <v>0.27413043478260868</v>
      </c>
      <c r="O14">
        <v>0.27413043478260868</v>
      </c>
      <c r="Q14" t="s">
        <v>3</v>
      </c>
      <c r="R14">
        <v>0.39406249999999987</v>
      </c>
      <c r="S14">
        <v>0.43482758620689654</v>
      </c>
      <c r="T14">
        <v>0.52541666666666664</v>
      </c>
      <c r="U14">
        <v>0.66368421052631577</v>
      </c>
      <c r="V14">
        <v>0.68532608695652164</v>
      </c>
      <c r="W14">
        <v>0.74176470588235299</v>
      </c>
      <c r="X14">
        <v>0.74176470588235299</v>
      </c>
      <c r="Y14">
        <v>0.78812499999999974</v>
      </c>
      <c r="Z14">
        <v>0.80833333333333324</v>
      </c>
    </row>
    <row r="17" spans="1:26" x14ac:dyDescent="0.55000000000000004">
      <c r="B17" s="42" t="s">
        <v>152</v>
      </c>
      <c r="C17" s="42" t="s">
        <v>153</v>
      </c>
      <c r="D17" t="s">
        <v>154</v>
      </c>
      <c r="E17" t="s">
        <v>155</v>
      </c>
      <c r="F17" t="s">
        <v>156</v>
      </c>
      <c r="G17" t="s">
        <v>157</v>
      </c>
      <c r="J17" t="s">
        <v>152</v>
      </c>
      <c r="K17" t="s">
        <v>153</v>
      </c>
      <c r="L17" t="s">
        <v>154</v>
      </c>
      <c r="M17" t="s">
        <v>155</v>
      </c>
      <c r="N17" t="s">
        <v>156</v>
      </c>
      <c r="O17" t="s">
        <v>157</v>
      </c>
      <c r="R17" t="s">
        <v>152</v>
      </c>
      <c r="S17" t="s">
        <v>153</v>
      </c>
      <c r="T17" t="s">
        <v>154</v>
      </c>
      <c r="U17" t="s">
        <v>155</v>
      </c>
      <c r="V17" t="s">
        <v>156</v>
      </c>
      <c r="W17" t="s">
        <v>157</v>
      </c>
      <c r="X17" t="s">
        <v>164</v>
      </c>
      <c r="Y17" t="s">
        <v>164</v>
      </c>
      <c r="Z17" t="s">
        <v>164</v>
      </c>
    </row>
    <row r="18" spans="1:26" x14ac:dyDescent="0.55000000000000004">
      <c r="A18" t="s">
        <v>140</v>
      </c>
      <c r="B18" s="41">
        <v>0.31707317073170732</v>
      </c>
      <c r="C18" s="41">
        <v>0.31707317073170732</v>
      </c>
      <c r="D18">
        <v>0.34979222683940359</v>
      </c>
      <c r="E18">
        <v>0.34979222683940359</v>
      </c>
      <c r="F18">
        <v>0.3538949480565714</v>
      </c>
      <c r="G18">
        <v>0.3538949480565714</v>
      </c>
      <c r="I18" t="s">
        <v>140</v>
      </c>
      <c r="J18">
        <v>0.24324324324324317</v>
      </c>
      <c r="K18">
        <v>0.24324324324324317</v>
      </c>
      <c r="L18">
        <v>0.2886440159167431</v>
      </c>
      <c r="M18">
        <v>0.2886440159167431</v>
      </c>
      <c r="N18">
        <v>0.29492659356996836</v>
      </c>
      <c r="O18">
        <v>0.29492659356996836</v>
      </c>
      <c r="R18">
        <v>6.6666666666666666E-2</v>
      </c>
      <c r="S18">
        <v>1.7543859649122671E-2</v>
      </c>
      <c r="T18">
        <v>6.4171122994652358E-2</v>
      </c>
      <c r="U18">
        <v>3.9757271395689598E-3</v>
      </c>
      <c r="V18">
        <v>3.5306823720716682E-2</v>
      </c>
      <c r="W18">
        <v>2.2999584398128877E-2</v>
      </c>
      <c r="X18">
        <v>2.2999584398128877E-2</v>
      </c>
      <c r="Y18">
        <v>1.4751075599262446E-2</v>
      </c>
      <c r="Z18">
        <v>1.1600562359060679E-2</v>
      </c>
    </row>
    <row r="19" spans="1:26" x14ac:dyDescent="0.55000000000000004">
      <c r="A19" t="s">
        <v>79</v>
      </c>
      <c r="B19" s="41">
        <v>0.7407407407407407</v>
      </c>
      <c r="C19" s="41">
        <v>0.7407407407407407</v>
      </c>
      <c r="D19">
        <v>0.7407407407407407</v>
      </c>
      <c r="E19">
        <v>0.7407407407407407</v>
      </c>
      <c r="F19">
        <v>0.7407407407407407</v>
      </c>
      <c r="G19">
        <v>0.7407407407407407</v>
      </c>
      <c r="I19" t="s">
        <v>79</v>
      </c>
      <c r="J19">
        <v>0.69565217391304346</v>
      </c>
      <c r="K19">
        <v>0.69565217391304346</v>
      </c>
      <c r="L19">
        <v>0.69565217391304346</v>
      </c>
      <c r="M19">
        <v>0.69565217391304346</v>
      </c>
      <c r="N19">
        <v>0.69565217391304346</v>
      </c>
      <c r="O19">
        <v>0.69565217391304346</v>
      </c>
      <c r="R19">
        <v>0.5625</v>
      </c>
      <c r="S19">
        <v>0.51724137931034475</v>
      </c>
      <c r="T19">
        <v>0.41666666666666652</v>
      </c>
      <c r="U19">
        <v>0.26315789473684215</v>
      </c>
      <c r="V19">
        <v>0.23913043478260865</v>
      </c>
      <c r="W19">
        <v>0.17647058823529393</v>
      </c>
      <c r="X19">
        <v>0.17647058823529393</v>
      </c>
      <c r="Y19">
        <v>0.125</v>
      </c>
      <c r="Z19">
        <v>0.10256410256410264</v>
      </c>
    </row>
    <row r="20" spans="1:26" x14ac:dyDescent="0.55000000000000004">
      <c r="A20" t="s">
        <v>145</v>
      </c>
      <c r="B20" s="41">
        <v>0.71587301587301577</v>
      </c>
      <c r="C20" s="41">
        <v>0.71587301587301577</v>
      </c>
      <c r="D20">
        <v>0.71587301587301577</v>
      </c>
      <c r="E20">
        <v>0.71587301587301577</v>
      </c>
      <c r="F20">
        <v>0.71587301587301577</v>
      </c>
      <c r="G20">
        <v>0.71587301587301577</v>
      </c>
      <c r="I20" t="s">
        <v>145</v>
      </c>
      <c r="J20">
        <v>0.67671809256661997</v>
      </c>
      <c r="K20">
        <v>0.67671809256661997</v>
      </c>
      <c r="L20">
        <v>0.67671809256661997</v>
      </c>
      <c r="M20">
        <v>0.67671809256661997</v>
      </c>
      <c r="N20">
        <v>0.67671809256661997</v>
      </c>
      <c r="O20">
        <v>0.67671809256661997</v>
      </c>
      <c r="R20">
        <v>0.57291666666666663</v>
      </c>
      <c r="S20">
        <v>0.54099616858237543</v>
      </c>
      <c r="T20">
        <v>0.47499999999999992</v>
      </c>
      <c r="U20">
        <v>0.38496240601503762</v>
      </c>
      <c r="V20">
        <v>0.371840242669363</v>
      </c>
      <c r="W20">
        <v>0.33868092691622098</v>
      </c>
      <c r="X20">
        <v>0.38899353823410182</v>
      </c>
      <c r="Y20">
        <v>0.36805555555555558</v>
      </c>
      <c r="Z20">
        <v>0.35921698097660393</v>
      </c>
    </row>
    <row r="21" spans="1:26" x14ac:dyDescent="0.55000000000000004">
      <c r="A21" t="s">
        <v>150</v>
      </c>
      <c r="B21" s="41">
        <v>0.88888888888888884</v>
      </c>
      <c r="C21" s="41">
        <v>0.88888888888888884</v>
      </c>
      <c r="D21">
        <v>0.88888888888888884</v>
      </c>
      <c r="E21">
        <v>0.88888888888888884</v>
      </c>
      <c r="F21">
        <v>0.88888888888888884</v>
      </c>
      <c r="G21">
        <v>0.88888888888888884</v>
      </c>
      <c r="I21" t="s">
        <v>150</v>
      </c>
      <c r="J21">
        <v>0.86956521739130443</v>
      </c>
      <c r="K21">
        <v>0.86956521739130443</v>
      </c>
      <c r="L21">
        <v>0.86956521739130443</v>
      </c>
      <c r="M21">
        <v>0.86956521739130443</v>
      </c>
      <c r="N21">
        <v>0.86956521739130443</v>
      </c>
      <c r="O21">
        <v>0.86956521739130443</v>
      </c>
      <c r="R21">
        <v>0.8125</v>
      </c>
      <c r="S21">
        <v>0.79310344827586199</v>
      </c>
      <c r="T21">
        <v>0.74999999999999989</v>
      </c>
      <c r="U21">
        <v>0.68421052631578949</v>
      </c>
      <c r="V21">
        <v>0.67391304347826086</v>
      </c>
      <c r="W21">
        <v>0.64705882352941169</v>
      </c>
      <c r="X21">
        <v>0.64705882352941169</v>
      </c>
      <c r="Y21">
        <v>0.625</v>
      </c>
      <c r="Z21">
        <v>0.61538461538461542</v>
      </c>
    </row>
    <row r="22" spans="1:26" x14ac:dyDescent="0.55000000000000004">
      <c r="A22" t="s">
        <v>146</v>
      </c>
      <c r="B22" s="41">
        <v>0.93517451453758627</v>
      </c>
      <c r="C22" s="41">
        <v>0.93517451453758627</v>
      </c>
      <c r="D22">
        <v>0.93517451453758627</v>
      </c>
      <c r="E22">
        <v>0.93517451453758627</v>
      </c>
      <c r="F22">
        <v>0.93517451453758627</v>
      </c>
      <c r="G22">
        <v>0.93517451453758627</v>
      </c>
      <c r="I22" t="s">
        <v>146</v>
      </c>
      <c r="J22">
        <v>0.92390051706586207</v>
      </c>
      <c r="K22">
        <v>0.92390051706586207</v>
      </c>
      <c r="L22">
        <v>0.92390051706586207</v>
      </c>
      <c r="M22">
        <v>0.92390051706586207</v>
      </c>
      <c r="N22">
        <v>0.92390051706586207</v>
      </c>
      <c r="O22">
        <v>0.92390051706586207</v>
      </c>
      <c r="R22">
        <v>0.89060699328217674</v>
      </c>
      <c r="S22">
        <v>0.87929047534585014</v>
      </c>
      <c r="T22">
        <v>0.85414265770956899</v>
      </c>
      <c r="U22">
        <v>0.81575914658050819</v>
      </c>
      <c r="V22">
        <v>0.80975129266465506</v>
      </c>
      <c r="W22">
        <v>0.79408375206056792</v>
      </c>
      <c r="X22">
        <v>0.79408375206056792</v>
      </c>
      <c r="Y22">
        <v>0.78121398656435348</v>
      </c>
      <c r="Z22">
        <v>0.77560408878395215</v>
      </c>
    </row>
    <row r="23" spans="1:26" x14ac:dyDescent="0.55000000000000004">
      <c r="A23" t="s">
        <v>149</v>
      </c>
      <c r="B23" s="41">
        <v>0.96088817265420134</v>
      </c>
      <c r="C23" s="41">
        <v>0.96088817265420134</v>
      </c>
      <c r="D23">
        <v>0.96088817265420134</v>
      </c>
      <c r="E23">
        <v>0.96088817265420134</v>
      </c>
      <c r="F23">
        <v>0.96088817265420134</v>
      </c>
      <c r="G23">
        <v>0.96088817265420134</v>
      </c>
      <c r="I23" t="s">
        <v>149</v>
      </c>
      <c r="J23">
        <v>0.9540861157244972</v>
      </c>
      <c r="K23">
        <v>0.9540861157244972</v>
      </c>
      <c r="L23">
        <v>0.9540861157244972</v>
      </c>
      <c r="M23">
        <v>0.9540861157244972</v>
      </c>
      <c r="N23">
        <v>0.9540861157244972</v>
      </c>
      <c r="O23">
        <v>0.9540861157244972</v>
      </c>
      <c r="R23">
        <v>0.93399879135396469</v>
      </c>
      <c r="S23">
        <v>0.92717108011471949</v>
      </c>
      <c r="T23">
        <v>0.91199838847195291</v>
      </c>
      <c r="U23">
        <v>0.88884006964878259</v>
      </c>
      <c r="V23">
        <v>0.88521528931124283</v>
      </c>
      <c r="W23">
        <v>0.87576243078393345</v>
      </c>
      <c r="X23">
        <v>0.87576243078393345</v>
      </c>
      <c r="Y23">
        <v>0.86799758270792937</v>
      </c>
      <c r="Z23">
        <v>0.86461290534146584</v>
      </c>
    </row>
    <row r="24" spans="1:26" x14ac:dyDescent="0.55000000000000004">
      <c r="A24" t="s">
        <v>147</v>
      </c>
      <c r="B24" s="41">
        <v>0.74114570483010767</v>
      </c>
      <c r="C24" s="41">
        <v>0.74114570483010767</v>
      </c>
      <c r="D24">
        <v>0.74114570483010767</v>
      </c>
      <c r="E24">
        <v>0.74114570483010767</v>
      </c>
      <c r="F24">
        <v>0.74114570483010767</v>
      </c>
      <c r="G24">
        <v>0.74114570483010767</v>
      </c>
      <c r="I24" t="s">
        <v>147</v>
      </c>
      <c r="J24">
        <v>0.69612756653969154</v>
      </c>
      <c r="K24">
        <v>0.69612756653969154</v>
      </c>
      <c r="L24">
        <v>0.69612756653969154</v>
      </c>
      <c r="M24">
        <v>0.69612756653969154</v>
      </c>
      <c r="N24">
        <v>0.69612756653969154</v>
      </c>
      <c r="O24">
        <v>0.69612756653969154</v>
      </c>
      <c r="R24">
        <v>0.56318337690080666</v>
      </c>
      <c r="S24">
        <v>0.51799545037330397</v>
      </c>
      <c r="T24">
        <v>0.41757783586774211</v>
      </c>
      <c r="U24">
        <v>0.2643088453066218</v>
      </c>
      <c r="V24">
        <v>0.24031891634922908</v>
      </c>
      <c r="W24">
        <v>0.17775694475445958</v>
      </c>
      <c r="X24">
        <v>0.17775694475445958</v>
      </c>
      <c r="Y24">
        <v>0.12636675380161339</v>
      </c>
      <c r="Z24">
        <v>0.10396590133498812</v>
      </c>
    </row>
    <row r="25" spans="1:26" x14ac:dyDescent="0.55000000000000004">
      <c r="A25" t="s">
        <v>151</v>
      </c>
      <c r="B25" s="41">
        <v>0.76851461462305548</v>
      </c>
      <c r="C25" s="41">
        <v>0.76851461462305548</v>
      </c>
      <c r="D25">
        <v>0.76851461462305548</v>
      </c>
      <c r="E25">
        <v>0.76851461462305548</v>
      </c>
      <c r="F25">
        <v>0.76851461462305548</v>
      </c>
      <c r="G25">
        <v>0.76851461462305548</v>
      </c>
      <c r="I25" t="s">
        <v>151</v>
      </c>
      <c r="J25">
        <v>0.72825628673141285</v>
      </c>
      <c r="K25">
        <v>0.72825628673141285</v>
      </c>
      <c r="L25">
        <v>0.72825628673141285</v>
      </c>
      <c r="M25">
        <v>0.72825628673141285</v>
      </c>
      <c r="N25">
        <v>0.72825628673141285</v>
      </c>
      <c r="O25">
        <v>0.72825628673141285</v>
      </c>
      <c r="R25">
        <v>0.60936841217640614</v>
      </c>
      <c r="S25">
        <v>0.5689582479187929</v>
      </c>
      <c r="T25">
        <v>0.47915788290187467</v>
      </c>
      <c r="U25">
        <v>0.34209416787605235</v>
      </c>
      <c r="V25">
        <v>0.32064071682853235</v>
      </c>
      <c r="W25">
        <v>0.26469348174382301</v>
      </c>
      <c r="X25">
        <v>0.26469348174382301</v>
      </c>
      <c r="Y25">
        <v>0.21873682435281228</v>
      </c>
      <c r="Z25">
        <v>0.19870443523365378</v>
      </c>
    </row>
    <row r="26" spans="1:26" x14ac:dyDescent="0.55000000000000004">
      <c r="A26" t="s">
        <v>148</v>
      </c>
      <c r="B26" s="41">
        <v>0.16529973885697655</v>
      </c>
      <c r="C26" s="41">
        <v>0.17918784301309015</v>
      </c>
      <c r="D26">
        <v>0.17918784301309015</v>
      </c>
      <c r="E26">
        <v>0.18174499691902665</v>
      </c>
      <c r="F26">
        <v>0.18174499691902665</v>
      </c>
      <c r="G26">
        <v>0.18221827175503313</v>
      </c>
      <c r="I26" t="s">
        <v>148</v>
      </c>
      <c r="J26">
        <v>0.11143235955685947</v>
      </c>
      <c r="K26">
        <v>0.130718601472956</v>
      </c>
      <c r="L26">
        <v>0.130718601472956</v>
      </c>
      <c r="M26">
        <v>0.13460262948543333</v>
      </c>
      <c r="N26">
        <v>0.13460262948543333</v>
      </c>
      <c r="O26">
        <v>0.13540689269211911</v>
      </c>
      <c r="R26">
        <v>9.9368231680922441E-3</v>
      </c>
      <c r="S26">
        <v>2.8788634850491508E-2</v>
      </c>
      <c r="T26">
        <v>4.3149753497371771E-3</v>
      </c>
      <c r="U26">
        <v>1.356250836292089E-3</v>
      </c>
      <c r="V26">
        <v>3.8495744811803443E-5</v>
      </c>
      <c r="W26">
        <v>2.118794794219561E-3</v>
      </c>
      <c r="X26">
        <v>2.118794794219561E-3</v>
      </c>
      <c r="Y26">
        <v>7.5591466365112743E-4</v>
      </c>
      <c r="Z26">
        <v>2.9579548027540382E-4</v>
      </c>
    </row>
    <row r="27" spans="1:26" x14ac:dyDescent="0.55000000000000004">
      <c r="A27" t="s">
        <v>83</v>
      </c>
      <c r="B27" s="41">
        <v>0.76000000000000012</v>
      </c>
      <c r="C27" s="41">
        <v>0.76000000000000012</v>
      </c>
      <c r="D27">
        <v>0.76000000000000012</v>
      </c>
      <c r="E27">
        <v>0.76000000000000012</v>
      </c>
      <c r="F27">
        <v>0.76000000000000012</v>
      </c>
      <c r="G27">
        <v>0.76000000000000012</v>
      </c>
      <c r="I27" t="s">
        <v>83</v>
      </c>
      <c r="J27">
        <v>0.71826086956521729</v>
      </c>
      <c r="K27">
        <v>0.71826086956521729</v>
      </c>
      <c r="L27">
        <v>0.71826086956521729</v>
      </c>
      <c r="M27">
        <v>0.71826086956521729</v>
      </c>
      <c r="N27">
        <v>0.71826086956521729</v>
      </c>
      <c r="O27">
        <v>0.71826086956521729</v>
      </c>
      <c r="R27">
        <v>0.59499999999999997</v>
      </c>
      <c r="S27">
        <v>0.553103448275862</v>
      </c>
      <c r="T27">
        <v>0.46</v>
      </c>
      <c r="U27">
        <v>0.31789473684210512</v>
      </c>
      <c r="V27">
        <v>0.29565217391304355</v>
      </c>
      <c r="W27">
        <v>0.23764705882352935</v>
      </c>
      <c r="X27">
        <v>0.23764705882352935</v>
      </c>
      <c r="Y27">
        <v>0.18999999999999995</v>
      </c>
      <c r="Z27">
        <v>0.1692307692307693</v>
      </c>
    </row>
    <row r="28" spans="1:26" x14ac:dyDescent="0.55000000000000004">
      <c r="A28" t="s">
        <v>3</v>
      </c>
      <c r="B28" s="41">
        <v>0.76648148148148154</v>
      </c>
      <c r="C28" s="41">
        <v>0.76648148148148154</v>
      </c>
      <c r="D28">
        <v>0.76648148148148154</v>
      </c>
      <c r="E28">
        <v>0.76648148148148154</v>
      </c>
      <c r="F28">
        <v>0.76648148148148154</v>
      </c>
      <c r="G28">
        <v>0.76648148148148154</v>
      </c>
      <c r="I28" t="s">
        <v>3</v>
      </c>
      <c r="J28">
        <v>0.72586956521739132</v>
      </c>
      <c r="K28">
        <v>0.72586956521739132</v>
      </c>
      <c r="L28">
        <v>0.72586956521739132</v>
      </c>
      <c r="M28">
        <v>0.72586956521739132</v>
      </c>
      <c r="N28">
        <v>0.72586956521739132</v>
      </c>
      <c r="O28">
        <v>0.72586956521739132</v>
      </c>
      <c r="R28">
        <v>0.60593750000000013</v>
      </c>
      <c r="S28">
        <v>0.56517241379310346</v>
      </c>
      <c r="T28">
        <v>0.47458333333333336</v>
      </c>
      <c r="U28">
        <v>0.33631578947368423</v>
      </c>
      <c r="V28">
        <v>0.31467391304347836</v>
      </c>
      <c r="W28">
        <v>0.25823529411764701</v>
      </c>
      <c r="X28">
        <v>0.25823529411764701</v>
      </c>
      <c r="Y28">
        <v>0.21187500000000029</v>
      </c>
      <c r="Z28">
        <v>0.19166666666666676</v>
      </c>
    </row>
    <row r="31" spans="1:26" x14ac:dyDescent="0.55000000000000004">
      <c r="B31" s="42" t="s">
        <v>152</v>
      </c>
      <c r="C31" s="42" t="s">
        <v>153</v>
      </c>
      <c r="D31" t="s">
        <v>154</v>
      </c>
      <c r="E31" t="s">
        <v>155</v>
      </c>
      <c r="F31" t="s">
        <v>156</v>
      </c>
      <c r="G31" t="s">
        <v>157</v>
      </c>
      <c r="J31" t="s">
        <v>152</v>
      </c>
      <c r="K31" t="s">
        <v>153</v>
      </c>
      <c r="L31" t="s">
        <v>154</v>
      </c>
      <c r="M31" t="s">
        <v>155</v>
      </c>
      <c r="N31" t="s">
        <v>156</v>
      </c>
      <c r="O31" t="s">
        <v>157</v>
      </c>
      <c r="R31" t="s">
        <v>152</v>
      </c>
      <c r="S31" t="s">
        <v>153</v>
      </c>
      <c r="T31" t="s">
        <v>154</v>
      </c>
      <c r="U31" t="s">
        <v>155</v>
      </c>
      <c r="V31" t="s">
        <v>156</v>
      </c>
      <c r="W31" t="s">
        <v>157</v>
      </c>
      <c r="X31" t="s">
        <v>164</v>
      </c>
      <c r="Y31" t="s">
        <v>164</v>
      </c>
      <c r="Z31" t="s">
        <v>164</v>
      </c>
    </row>
    <row r="32" spans="1:26" x14ac:dyDescent="0.55000000000000004">
      <c r="A32" t="s">
        <v>140</v>
      </c>
      <c r="B32" s="41">
        <v>1.2870544090056282</v>
      </c>
      <c r="C32" s="41">
        <v>1.2870544090056282</v>
      </c>
      <c r="D32">
        <v>0.17717677552658156</v>
      </c>
      <c r="E32">
        <v>0.17717677552658156</v>
      </c>
      <c r="F32">
        <v>2.7196673031489687E-2</v>
      </c>
      <c r="G32">
        <v>2.7196673031489687E-2</v>
      </c>
      <c r="J32">
        <v>2.0600600600600627</v>
      </c>
      <c r="K32">
        <v>2.0600600600600627</v>
      </c>
      <c r="L32">
        <v>0.28680000298625596</v>
      </c>
      <c r="M32">
        <v>0.28680000298625596</v>
      </c>
      <c r="N32">
        <v>4.8803080282475431E-2</v>
      </c>
      <c r="O32">
        <v>4.8803080282475431E-2</v>
      </c>
      <c r="R32">
        <v>11.433333333333334</v>
      </c>
      <c r="S32">
        <v>48.140350877193377</v>
      </c>
      <c r="T32">
        <v>3.2098930481283463</v>
      </c>
      <c r="U32">
        <v>64.308014228917969</v>
      </c>
      <c r="V32">
        <v>1.9313748401073993</v>
      </c>
      <c r="W32">
        <v>3.1705058257950287</v>
      </c>
      <c r="X32">
        <v>3.1705058257950287</v>
      </c>
      <c r="Y32">
        <v>5.165027658266748</v>
      </c>
      <c r="Z32">
        <v>6.676345454221881</v>
      </c>
    </row>
    <row r="33" spans="1:26" x14ac:dyDescent="0.55000000000000004">
      <c r="A33" t="s">
        <v>79</v>
      </c>
      <c r="B33" s="41">
        <v>1.2249999999999999</v>
      </c>
      <c r="C33" s="41">
        <v>1.2249999999999999</v>
      </c>
      <c r="D33">
        <v>1.2249999999999999</v>
      </c>
      <c r="E33">
        <v>1.2249999999999999</v>
      </c>
      <c r="F33">
        <v>1.2249999999999999</v>
      </c>
      <c r="G33">
        <v>1.2249999999999999</v>
      </c>
      <c r="J33">
        <v>1.5312500000000004</v>
      </c>
      <c r="K33">
        <v>1.5312500000000004</v>
      </c>
      <c r="L33">
        <v>1.5312500000000004</v>
      </c>
      <c r="M33">
        <v>1.5312500000000004</v>
      </c>
      <c r="N33">
        <v>1.5312500000000004</v>
      </c>
      <c r="O33">
        <v>1.5312500000000004</v>
      </c>
      <c r="R33">
        <v>2.7222222222222223</v>
      </c>
      <c r="S33">
        <v>3.2666666666666679</v>
      </c>
      <c r="T33">
        <v>4.900000000000003</v>
      </c>
      <c r="U33">
        <v>9.7999999999999972</v>
      </c>
      <c r="V33">
        <v>11.13636363636364</v>
      </c>
      <c r="W33">
        <v>16.333333333333357</v>
      </c>
      <c r="X33">
        <v>16.333333333333357</v>
      </c>
      <c r="Y33">
        <v>24.5</v>
      </c>
      <c r="Z33">
        <v>30.624999999999975</v>
      </c>
    </row>
    <row r="34" spans="1:26" x14ac:dyDescent="0.55000000000000004">
      <c r="A34" t="s">
        <v>145</v>
      </c>
      <c r="B34" s="41">
        <v>0.18999060150375938</v>
      </c>
      <c r="C34" s="41">
        <v>0.18999060150375938</v>
      </c>
      <c r="D34">
        <v>0.18999060150375938</v>
      </c>
      <c r="E34">
        <v>0.18999060150375938</v>
      </c>
      <c r="F34">
        <v>0.18999060150375938</v>
      </c>
      <c r="G34">
        <v>0.18999060150375938</v>
      </c>
      <c r="J34">
        <v>0.25013440860215058</v>
      </c>
      <c r="K34">
        <v>0.25013440860215058</v>
      </c>
      <c r="L34">
        <v>0.25013440860215058</v>
      </c>
      <c r="M34">
        <v>0.25013440860215058</v>
      </c>
      <c r="N34">
        <v>0.25013440860215058</v>
      </c>
      <c r="O34">
        <v>0.25013440860215058</v>
      </c>
      <c r="R34">
        <v>0.50641025641025639</v>
      </c>
      <c r="S34">
        <v>0.6332590115198814</v>
      </c>
      <c r="T34">
        <v>1.0500000000000003</v>
      </c>
      <c r="U34">
        <v>2.7842490842490832</v>
      </c>
      <c r="V34">
        <v>3.4636784196049</v>
      </c>
      <c r="W34">
        <v>8.1666666666666803</v>
      </c>
      <c r="X34">
        <v>0.75863115614145027</v>
      </c>
      <c r="Y34">
        <v>0.89444444444444438</v>
      </c>
      <c r="Z34">
        <v>0.96285261507669162</v>
      </c>
    </row>
    <row r="35" spans="1:26" x14ac:dyDescent="0.55000000000000004">
      <c r="A35" t="s">
        <v>150</v>
      </c>
      <c r="B35" s="41">
        <v>0.19248120300751875</v>
      </c>
      <c r="C35" s="41">
        <v>0.19248120300751875</v>
      </c>
      <c r="D35">
        <v>0.19248120300751875</v>
      </c>
      <c r="E35">
        <v>0.19248120300751875</v>
      </c>
      <c r="F35">
        <v>0.19248120300751875</v>
      </c>
      <c r="G35">
        <v>0.19248120300751875</v>
      </c>
      <c r="J35">
        <v>0.27526881720430113</v>
      </c>
      <c r="K35">
        <v>0.27526881720430113</v>
      </c>
      <c r="L35">
        <v>0.27526881720430113</v>
      </c>
      <c r="M35">
        <v>0.27526881720430113</v>
      </c>
      <c r="N35">
        <v>0.27526881720430113</v>
      </c>
      <c r="O35">
        <v>0.27526881720430113</v>
      </c>
      <c r="R35">
        <v>0.66666666666666663</v>
      </c>
      <c r="S35">
        <v>0.87521367521367566</v>
      </c>
      <c r="T35">
        <v>1.6000000000000005</v>
      </c>
      <c r="U35">
        <v>4.876190476190474</v>
      </c>
      <c r="V35">
        <v>6.2015503875968969</v>
      </c>
      <c r="W35">
        <v>15.515151515151542</v>
      </c>
      <c r="X35">
        <v>0.81818181818181857</v>
      </c>
      <c r="Y35">
        <v>0.9</v>
      </c>
      <c r="Z35">
        <v>0.98820523015338335</v>
      </c>
    </row>
    <row r="36" spans="1:26" x14ac:dyDescent="0.55000000000000004">
      <c r="A36" t="s">
        <v>146</v>
      </c>
      <c r="B36" s="41">
        <v>0.91166643278921133</v>
      </c>
      <c r="C36" s="41">
        <v>0.91166643278921133</v>
      </c>
      <c r="D36">
        <v>0.91166643278921133</v>
      </c>
      <c r="E36">
        <v>0.91166643278921133</v>
      </c>
      <c r="F36">
        <v>0.91166643278921133</v>
      </c>
      <c r="G36">
        <v>0.91166643278921133</v>
      </c>
      <c r="J36">
        <v>1.0858149663529635</v>
      </c>
      <c r="K36">
        <v>1.0858149663529635</v>
      </c>
      <c r="L36">
        <v>1.0858149663529635</v>
      </c>
      <c r="M36">
        <v>1.0858149663529635</v>
      </c>
      <c r="N36">
        <v>1.0858149663529635</v>
      </c>
      <c r="O36">
        <v>1.0858149663529635</v>
      </c>
      <c r="R36">
        <v>1.6315185629877937</v>
      </c>
      <c r="S36">
        <v>1.8286176795686617</v>
      </c>
      <c r="T36">
        <v>2.2900923199169121</v>
      </c>
      <c r="U36">
        <v>3.0650096077372102</v>
      </c>
      <c r="V36">
        <v>3.1949675219550215</v>
      </c>
      <c r="W36">
        <v>3.5461267968080281</v>
      </c>
      <c r="X36">
        <v>3.5461267968080281</v>
      </c>
      <c r="Y36">
        <v>3.8486895469732754</v>
      </c>
      <c r="Z36">
        <v>3.9848188769338311</v>
      </c>
    </row>
    <row r="37" spans="1:26" x14ac:dyDescent="0.55000000000000004">
      <c r="A37" t="s">
        <v>149</v>
      </c>
      <c r="B37" s="41">
        <v>1.2941830956411848</v>
      </c>
      <c r="C37" s="41">
        <v>1.2941830956411848</v>
      </c>
      <c r="D37">
        <v>1.2941830956411848</v>
      </c>
      <c r="E37">
        <v>1.2941830956411848</v>
      </c>
      <c r="F37">
        <v>1.2941830956411848</v>
      </c>
      <c r="G37">
        <v>1.2941830956411848</v>
      </c>
      <c r="J37">
        <v>1.5460255079645728</v>
      </c>
      <c r="K37">
        <v>1.5460255079645728</v>
      </c>
      <c r="L37">
        <v>1.5460255079645728</v>
      </c>
      <c r="M37">
        <v>1.5460255079645728</v>
      </c>
      <c r="N37">
        <v>1.5460255079645728</v>
      </c>
      <c r="O37">
        <v>1.5460255079645728</v>
      </c>
      <c r="R37">
        <v>2.3443895641788068</v>
      </c>
      <c r="S37">
        <v>2.6360905253365323</v>
      </c>
      <c r="T37">
        <v>3.3257734870011828</v>
      </c>
      <c r="U37">
        <v>4.5042159422974617</v>
      </c>
      <c r="V37">
        <v>4.7042420187535567</v>
      </c>
      <c r="W37">
        <v>5.2480452295245197</v>
      </c>
      <c r="X37">
        <v>5.2480452295245197</v>
      </c>
      <c r="Y37">
        <v>5.7203788591724605</v>
      </c>
      <c r="Z37">
        <v>5.9340074507716842</v>
      </c>
    </row>
    <row r="38" spans="1:26" x14ac:dyDescent="0.55000000000000004">
      <c r="A38" t="s">
        <v>147</v>
      </c>
      <c r="B38" s="41">
        <v>0.70220962205535276</v>
      </c>
      <c r="C38" s="41">
        <v>0.70220962205535276</v>
      </c>
      <c r="D38">
        <v>0.70220962205535276</v>
      </c>
      <c r="E38">
        <v>0.70220962205535276</v>
      </c>
      <c r="F38">
        <v>0.70220962205535276</v>
      </c>
      <c r="G38">
        <v>0.70220962205535276</v>
      </c>
      <c r="J38">
        <v>0.87916968233417925</v>
      </c>
      <c r="K38">
        <v>0.87916968233417925</v>
      </c>
      <c r="L38">
        <v>0.87916968233417925</v>
      </c>
      <c r="M38">
        <v>0.87916968233417925</v>
      </c>
      <c r="N38">
        <v>0.87916968233417925</v>
      </c>
      <c r="O38">
        <v>0.87916968233417925</v>
      </c>
      <c r="R38">
        <v>1.5752855632317808</v>
      </c>
      <c r="S38">
        <v>1.8987761244331431</v>
      </c>
      <c r="T38">
        <v>2.8960009903201502</v>
      </c>
      <c r="U38">
        <v>6.2844258229665453</v>
      </c>
      <c r="V38">
        <v>7.3688681660660578</v>
      </c>
      <c r="W38">
        <v>12.788695901223955</v>
      </c>
      <c r="X38">
        <v>12.788695901223955</v>
      </c>
      <c r="Y38">
        <v>31.986338078492672</v>
      </c>
      <c r="Z38">
        <v>111.40587218755014</v>
      </c>
    </row>
    <row r="39" spans="1:26" x14ac:dyDescent="0.55000000000000004">
      <c r="A39" t="s">
        <v>151</v>
      </c>
      <c r="B39" s="41">
        <v>0.80199638585319666</v>
      </c>
      <c r="C39" s="41">
        <v>0.80199638585319666</v>
      </c>
      <c r="D39">
        <v>0.80199638585319666</v>
      </c>
      <c r="E39">
        <v>0.80199638585319666</v>
      </c>
      <c r="F39">
        <v>0.80199638585319666</v>
      </c>
      <c r="G39">
        <v>0.80199638585319666</v>
      </c>
      <c r="J39">
        <v>1.0120534259963083</v>
      </c>
      <c r="K39">
        <v>1.0120534259963083</v>
      </c>
      <c r="L39">
        <v>1.0120534259963083</v>
      </c>
      <c r="M39">
        <v>1.0120534259963083</v>
      </c>
      <c r="N39">
        <v>1.0120534259963083</v>
      </c>
      <c r="O39">
        <v>1.0120534259963083</v>
      </c>
      <c r="R39">
        <v>1.8684843624699274</v>
      </c>
      <c r="S39">
        <v>2.2823558222113394</v>
      </c>
      <c r="T39">
        <v>3.6180124223602492</v>
      </c>
      <c r="U39">
        <v>8.7225081890500729</v>
      </c>
      <c r="V39">
        <v>10.500225326723742</v>
      </c>
      <c r="W39">
        <v>20.021482277121365</v>
      </c>
      <c r="X39">
        <v>20.021482277121365</v>
      </c>
      <c r="Y39">
        <v>56.829268292683111</v>
      </c>
      <c r="Z39">
        <v>214.74654377880645</v>
      </c>
    </row>
    <row r="40" spans="1:26" x14ac:dyDescent="0.55000000000000004">
      <c r="A40" t="s">
        <v>148</v>
      </c>
      <c r="B40" s="41">
        <v>1.4511847453706939</v>
      </c>
      <c r="C40" s="41">
        <v>0.28473884295476465</v>
      </c>
      <c r="D40">
        <v>0.28473884295476465</v>
      </c>
      <c r="E40">
        <v>5.9662156810107482E-2</v>
      </c>
      <c r="F40">
        <v>5.9662156810107482E-2</v>
      </c>
      <c r="G40">
        <v>1.1989096056742685E-2</v>
      </c>
      <c r="J40">
        <v>2.6557279850797895</v>
      </c>
      <c r="K40">
        <v>0.51974603161445743</v>
      </c>
      <c r="L40">
        <v>0.51974603161445743</v>
      </c>
      <c r="M40">
        <v>0.11889116872912869</v>
      </c>
      <c r="N40">
        <v>0.11889116872912869</v>
      </c>
      <c r="O40">
        <v>2.6892396826723959E-2</v>
      </c>
      <c r="R40">
        <v>43.192419686936809</v>
      </c>
      <c r="S40">
        <v>4.2081637285508329</v>
      </c>
      <c r="T40">
        <v>31.922569990673693</v>
      </c>
      <c r="U40">
        <v>33.908363655307141</v>
      </c>
      <c r="V40">
        <v>1196.9890831386242</v>
      </c>
      <c r="W40">
        <v>7.5063468077220712</v>
      </c>
      <c r="X40">
        <v>7.5063468077220712</v>
      </c>
      <c r="Y40">
        <v>20.759241783470316</v>
      </c>
      <c r="Z40">
        <v>52.575367936474052</v>
      </c>
    </row>
    <row r="41" spans="1:26" x14ac:dyDescent="0.55000000000000004">
      <c r="A41" t="s">
        <v>83</v>
      </c>
      <c r="B41" s="41">
        <v>1.8947368421052633</v>
      </c>
      <c r="C41" s="41">
        <v>1.8947368421052633</v>
      </c>
      <c r="D41">
        <v>1.8947368421052633</v>
      </c>
      <c r="E41">
        <v>1.8947368421052633</v>
      </c>
      <c r="F41">
        <v>1.8947368421052633</v>
      </c>
      <c r="G41">
        <v>1.8947368421052633</v>
      </c>
      <c r="J41">
        <v>2.3535108958837783</v>
      </c>
      <c r="K41">
        <v>2.3535108958837783</v>
      </c>
      <c r="L41">
        <v>2.3535108958837783</v>
      </c>
      <c r="M41">
        <v>2.3535108958837783</v>
      </c>
      <c r="N41">
        <v>2.3535108958837783</v>
      </c>
      <c r="O41">
        <v>2.3535108958837783</v>
      </c>
      <c r="R41">
        <v>4.0840336134453779</v>
      </c>
      <c r="S41">
        <v>4.8478802992518713</v>
      </c>
      <c r="T41">
        <v>7.043478260869569</v>
      </c>
      <c r="U41">
        <v>12.874172185430474</v>
      </c>
      <c r="V41">
        <v>14.294117647058821</v>
      </c>
      <c r="W41">
        <v>19.247524752475258</v>
      </c>
      <c r="X41">
        <v>19.247524752475258</v>
      </c>
      <c r="Y41">
        <v>25.578947368421058</v>
      </c>
      <c r="Z41">
        <v>29.454545454545443</v>
      </c>
    </row>
    <row r="42" spans="1:26" x14ac:dyDescent="0.55000000000000004">
      <c r="A42" t="s">
        <v>3</v>
      </c>
      <c r="B42" s="41">
        <v>1.5233148103406615</v>
      </c>
      <c r="C42" s="41">
        <v>1.5233148103406615</v>
      </c>
      <c r="D42">
        <v>1.5233148103406615</v>
      </c>
      <c r="E42">
        <v>1.5233148103406615</v>
      </c>
      <c r="F42">
        <v>1.5233148103406615</v>
      </c>
      <c r="G42">
        <v>1.5233148103406615</v>
      </c>
      <c r="J42">
        <v>1.8882899071578314</v>
      </c>
      <c r="K42">
        <v>1.8882899071578314</v>
      </c>
      <c r="L42">
        <v>1.8882899071578314</v>
      </c>
      <c r="M42">
        <v>1.8882899071578314</v>
      </c>
      <c r="N42">
        <v>1.8882899071578314</v>
      </c>
      <c r="O42">
        <v>1.8882899071578314</v>
      </c>
      <c r="R42">
        <v>3.2516761217122205</v>
      </c>
      <c r="S42">
        <v>3.8468578401464306</v>
      </c>
      <c r="T42">
        <v>5.5355575065847225</v>
      </c>
      <c r="U42">
        <v>9.8669796557120488</v>
      </c>
      <c r="V42">
        <v>10.8894645941278</v>
      </c>
      <c r="W42">
        <v>14.362186788154903</v>
      </c>
      <c r="X42">
        <v>14.362186788154903</v>
      </c>
      <c r="Y42">
        <v>18.598820058997024</v>
      </c>
      <c r="Z42">
        <v>21.086956521739118</v>
      </c>
    </row>
    <row r="45" spans="1:26" x14ac:dyDescent="0.55000000000000004">
      <c r="B45" s="42" t="s">
        <v>152</v>
      </c>
      <c r="C45" s="42" t="s">
        <v>153</v>
      </c>
      <c r="D45" t="s">
        <v>154</v>
      </c>
      <c r="E45" t="s">
        <v>155</v>
      </c>
      <c r="F45" t="s">
        <v>156</v>
      </c>
      <c r="G45" t="s">
        <v>157</v>
      </c>
      <c r="J45" t="s">
        <v>152</v>
      </c>
      <c r="K45" t="s">
        <v>153</v>
      </c>
      <c r="L45" t="s">
        <v>154</v>
      </c>
      <c r="M45" t="s">
        <v>155</v>
      </c>
      <c r="N45" t="s">
        <v>156</v>
      </c>
      <c r="O45" t="s">
        <v>157</v>
      </c>
      <c r="R45" t="s">
        <v>152</v>
      </c>
      <c r="S45" t="s">
        <v>153</v>
      </c>
      <c r="T45" t="s">
        <v>154</v>
      </c>
      <c r="U45" t="s">
        <v>155</v>
      </c>
      <c r="V45" t="s">
        <v>156</v>
      </c>
      <c r="W45" t="s">
        <v>157</v>
      </c>
      <c r="X45" t="s">
        <v>164</v>
      </c>
      <c r="Y45" t="s">
        <v>164</v>
      </c>
      <c r="Z45" t="s">
        <v>164</v>
      </c>
    </row>
    <row r="46" spans="1:26" x14ac:dyDescent="0.55000000000000004">
      <c r="A46" t="s">
        <v>140</v>
      </c>
      <c r="B46" s="41">
        <v>0.38134945452018609</v>
      </c>
      <c r="C46" s="41">
        <v>0.38134945452018609</v>
      </c>
      <c r="D46">
        <v>5.2496822378246384E-2</v>
      </c>
      <c r="E46">
        <v>5.2496822378246384E-2</v>
      </c>
      <c r="F46">
        <v>8.0582734908117588E-3</v>
      </c>
      <c r="G46">
        <v>8.0582734908117588E-3</v>
      </c>
      <c r="J46">
        <v>0.71654262958610881</v>
      </c>
      <c r="K46">
        <v>0.71654262958610881</v>
      </c>
      <c r="L46">
        <v>9.9756522777828177E-2</v>
      </c>
      <c r="M46">
        <v>9.9756522777828177E-2</v>
      </c>
      <c r="N46">
        <v>1.6974984446078412E-2</v>
      </c>
      <c r="O46">
        <v>1.6974984446078412E-2</v>
      </c>
      <c r="R46">
        <v>5.7166666666666668</v>
      </c>
      <c r="S46">
        <v>26.560193587417039</v>
      </c>
      <c r="T46">
        <v>2.139928698752231</v>
      </c>
      <c r="U46">
        <v>54.154117245404606</v>
      </c>
      <c r="V46">
        <v>1.6794563827020863</v>
      </c>
      <c r="W46">
        <v>2.9840054831012037</v>
      </c>
      <c r="X46">
        <v>2.9840054831012037</v>
      </c>
      <c r="Y46">
        <v>5.165027658266748</v>
      </c>
      <c r="Z46">
        <v>6.847533799201929</v>
      </c>
    </row>
    <row r="47" spans="1:26" x14ac:dyDescent="0.55000000000000004">
      <c r="A47" t="s">
        <v>79</v>
      </c>
      <c r="B47" s="41">
        <v>9.0740740740740733E-2</v>
      </c>
      <c r="C47" s="41">
        <v>9.0740740740740733E-2</v>
      </c>
      <c r="D47">
        <v>9.0740740740740733E-2</v>
      </c>
      <c r="E47">
        <v>9.0740740740740733E-2</v>
      </c>
      <c r="F47">
        <v>9.0740740740740733E-2</v>
      </c>
      <c r="G47">
        <v>9.0740740740740733E-2</v>
      </c>
      <c r="J47">
        <v>0.13315217391304354</v>
      </c>
      <c r="K47">
        <v>0.13315217391304354</v>
      </c>
      <c r="L47">
        <v>0.13315217391304354</v>
      </c>
      <c r="M47">
        <v>0.13315217391304354</v>
      </c>
      <c r="N47">
        <v>0.13315217391304354</v>
      </c>
      <c r="O47">
        <v>0.13315217391304354</v>
      </c>
      <c r="R47">
        <v>0.34027777777777779</v>
      </c>
      <c r="S47">
        <v>0.45057471264367843</v>
      </c>
      <c r="T47">
        <v>0.81666666666666721</v>
      </c>
      <c r="U47">
        <v>2.0631578947368414</v>
      </c>
      <c r="V47">
        <v>2.4209486166007914</v>
      </c>
      <c r="W47">
        <v>3.8431372549019667</v>
      </c>
      <c r="X47">
        <v>3.8431372549019667</v>
      </c>
      <c r="Y47">
        <v>6.125</v>
      </c>
      <c r="Z47">
        <v>7.8525641025640951</v>
      </c>
    </row>
    <row r="48" spans="1:26" x14ac:dyDescent="0.55000000000000004">
      <c r="A48" t="s">
        <v>145</v>
      </c>
      <c r="B48" s="41">
        <v>3.5460178223336108E-2</v>
      </c>
      <c r="C48" s="41">
        <v>3.5460178223336108E-2</v>
      </c>
      <c r="D48">
        <v>3.5460178223336108E-2</v>
      </c>
      <c r="E48">
        <v>3.5460178223336108E-2</v>
      </c>
      <c r="F48">
        <v>3.5460178223336108E-2</v>
      </c>
      <c r="G48">
        <v>3.5460178223336108E-2</v>
      </c>
      <c r="J48">
        <v>5.7655446470313253E-2</v>
      </c>
      <c r="K48">
        <v>5.7655446470313253E-2</v>
      </c>
      <c r="L48">
        <v>5.7655446470313253E-2</v>
      </c>
      <c r="M48">
        <v>5.7655446470313253E-2</v>
      </c>
      <c r="N48">
        <v>5.7655446470313253E-2</v>
      </c>
      <c r="O48">
        <v>5.7655446470313253E-2</v>
      </c>
      <c r="R48">
        <v>0.18830128205128205</v>
      </c>
      <c r="S48">
        <v>0.26842476197798554</v>
      </c>
      <c r="T48">
        <v>0.57500000000000018</v>
      </c>
      <c r="U48">
        <v>2.1260073260073251</v>
      </c>
      <c r="V48">
        <v>2.77521826108701</v>
      </c>
      <c r="W48">
        <v>7.3975044563279999</v>
      </c>
      <c r="X48">
        <v>0.42523574053954666</v>
      </c>
      <c r="Y48">
        <v>0.55694444444444435</v>
      </c>
      <c r="Z48">
        <v>0.62696422059147849</v>
      </c>
    </row>
    <row r="49" spans="1:26" x14ac:dyDescent="0.55000000000000004">
      <c r="A49" t="s">
        <v>150</v>
      </c>
      <c r="B49" s="41">
        <v>5.7031467557783329E-2</v>
      </c>
      <c r="C49" s="41">
        <v>5.7031467557783329E-2</v>
      </c>
      <c r="D49">
        <v>5.7031467557783329E-2</v>
      </c>
      <c r="E49">
        <v>5.7031467557783329E-2</v>
      </c>
      <c r="F49">
        <v>5.7031467557783329E-2</v>
      </c>
      <c r="G49">
        <v>5.7031467557783329E-2</v>
      </c>
      <c r="J49">
        <v>9.5745675549322146E-2</v>
      </c>
      <c r="K49">
        <v>9.5745675549322146E-2</v>
      </c>
      <c r="L49">
        <v>9.5745675549322146E-2</v>
      </c>
      <c r="M49">
        <v>9.5745675549322146E-2</v>
      </c>
      <c r="N49">
        <v>9.5745675549322146E-2</v>
      </c>
      <c r="O49">
        <v>9.5745675549322146E-2</v>
      </c>
      <c r="R49">
        <v>0.33333333333333331</v>
      </c>
      <c r="S49">
        <v>0.48287651046271768</v>
      </c>
      <c r="T49">
        <v>1.0666666666666671</v>
      </c>
      <c r="U49">
        <v>4.1062656641603992</v>
      </c>
      <c r="V49">
        <v>5.3926525109538233</v>
      </c>
      <c r="W49">
        <v>14.602495543672042</v>
      </c>
      <c r="X49">
        <v>0.65795811209513599</v>
      </c>
      <c r="Y49">
        <v>0.88888888888888873</v>
      </c>
      <c r="Z49">
        <v>1.0135438257983418</v>
      </c>
    </row>
    <row r="50" spans="1:26" x14ac:dyDescent="0.55000000000000004">
      <c r="A50" t="s">
        <v>146</v>
      </c>
      <c r="B50" s="41">
        <v>5.3027016752178338E-3</v>
      </c>
      <c r="C50" s="41">
        <v>5.3027016752178338E-3</v>
      </c>
      <c r="D50">
        <v>5.3027016752178338E-3</v>
      </c>
      <c r="E50">
        <v>5.3027016752178338E-3</v>
      </c>
      <c r="F50">
        <v>5.3027016752178338E-3</v>
      </c>
      <c r="G50">
        <v>5.3027016752178338E-3</v>
      </c>
      <c r="J50">
        <v>7.4247452468592361E-3</v>
      </c>
      <c r="K50">
        <v>7.4247452468592361E-3</v>
      </c>
      <c r="L50">
        <v>7.4247452468592361E-3</v>
      </c>
      <c r="M50">
        <v>7.4247452468592361E-3</v>
      </c>
      <c r="N50">
        <v>7.4247452468592361E-3</v>
      </c>
      <c r="O50">
        <v>7.4247452468592361E-3</v>
      </c>
      <c r="R50">
        <v>1.6108421204314684E-2</v>
      </c>
      <c r="S50">
        <v>1.9953373774208728E-2</v>
      </c>
      <c r="T50">
        <v>3.0303605395485201E-2</v>
      </c>
      <c r="U50">
        <v>5.1529116406447431E-2</v>
      </c>
      <c r="V50">
        <v>5.5518025122733683E-2</v>
      </c>
      <c r="W50">
        <v>6.6862736430416181E-2</v>
      </c>
      <c r="X50">
        <v>6.6862736430416181E-2</v>
      </c>
      <c r="Y50">
        <v>7.7267028639220706E-2</v>
      </c>
      <c r="Z50">
        <v>8.2128617778862351E-2</v>
      </c>
    </row>
    <row r="51" spans="1:26" x14ac:dyDescent="0.55000000000000004">
      <c r="A51" t="s">
        <v>149</v>
      </c>
      <c r="B51" s="41">
        <v>9.0134022395237934E-3</v>
      </c>
      <c r="C51" s="41">
        <v>9.0134022395237934E-3</v>
      </c>
      <c r="D51">
        <v>9.0134022395237934E-3</v>
      </c>
      <c r="E51">
        <v>9.0134022395237934E-3</v>
      </c>
      <c r="F51">
        <v>9.0134022395237934E-3</v>
      </c>
      <c r="G51">
        <v>9.0134022395237934E-3</v>
      </c>
      <c r="J51">
        <v>1.263995748142485E-2</v>
      </c>
      <c r="K51">
        <v>1.263995748142485E-2</v>
      </c>
      <c r="L51">
        <v>1.263995748142485E-2</v>
      </c>
      <c r="M51">
        <v>1.263995748142485E-2</v>
      </c>
      <c r="N51">
        <v>1.263995748142485E-2</v>
      </c>
      <c r="O51">
        <v>1.263995748142485E-2</v>
      </c>
      <c r="R51">
        <v>2.755285399337391E-2</v>
      </c>
      <c r="S51">
        <v>3.4186064833637009E-2</v>
      </c>
      <c r="T51">
        <v>5.2115656716506718E-2</v>
      </c>
      <c r="U51">
        <v>8.9156372919730859E-2</v>
      </c>
      <c r="V51">
        <v>9.6152066691417903E-2</v>
      </c>
      <c r="W51">
        <v>0.11610086022370381</v>
      </c>
      <c r="X51">
        <v>0.11610086022370381</v>
      </c>
      <c r="Y51">
        <v>0.13445953343404363</v>
      </c>
      <c r="Z51">
        <v>0.14305738382426042</v>
      </c>
    </row>
    <row r="52" spans="1:26" x14ac:dyDescent="0.55000000000000004">
      <c r="A52" t="s">
        <v>147</v>
      </c>
      <c r="B52" s="41">
        <v>9.2250515857784099E-2</v>
      </c>
      <c r="C52" s="41">
        <v>9.2250515857784099E-2</v>
      </c>
      <c r="D52">
        <v>9.2250515857784099E-2</v>
      </c>
      <c r="E52">
        <v>9.2250515857784099E-2</v>
      </c>
      <c r="F52">
        <v>9.2250515857784099E-2</v>
      </c>
      <c r="G52">
        <v>9.2250515857784099E-2</v>
      </c>
      <c r="J52">
        <v>0.13571240770678117</v>
      </c>
      <c r="K52">
        <v>0.13571240770678117</v>
      </c>
      <c r="L52">
        <v>0.13571240770678117</v>
      </c>
      <c r="M52">
        <v>0.13571240770678117</v>
      </c>
      <c r="N52">
        <v>0.13571240770678117</v>
      </c>
      <c r="O52">
        <v>0.13571240770678117</v>
      </c>
      <c r="R52">
        <v>0.35082615851669724</v>
      </c>
      <c r="S52">
        <v>0.46738351258987532</v>
      </c>
      <c r="T52">
        <v>0.86557833102781712</v>
      </c>
      <c r="U52">
        <v>2.4065217567898944</v>
      </c>
      <c r="V52">
        <v>2.9247529993822576</v>
      </c>
      <c r="W52">
        <v>5.5721048953664365</v>
      </c>
      <c r="X52">
        <v>5.5721048953664365</v>
      </c>
      <c r="Y52">
        <v>15.11953579304795</v>
      </c>
      <c r="Z52">
        <v>54.80690199511006</v>
      </c>
    </row>
    <row r="53" spans="1:26" x14ac:dyDescent="0.55000000000000004">
      <c r="A53" t="s">
        <v>151</v>
      </c>
      <c r="B53" s="41">
        <v>0.11477498796375825</v>
      </c>
      <c r="C53" s="41">
        <v>0.11477498796375825</v>
      </c>
      <c r="D53">
        <v>0.11477498796375825</v>
      </c>
      <c r="E53">
        <v>0.11477498796375825</v>
      </c>
      <c r="F53">
        <v>0.11477498796375825</v>
      </c>
      <c r="G53">
        <v>0.11477498796375825</v>
      </c>
      <c r="J53">
        <v>0.17002555934612434</v>
      </c>
      <c r="K53">
        <v>0.17002555934612434</v>
      </c>
      <c r="L53">
        <v>0.17002555934612434</v>
      </c>
      <c r="M53">
        <v>0.17002555934612434</v>
      </c>
      <c r="N53">
        <v>0.17002555934612434</v>
      </c>
      <c r="O53">
        <v>0.17002555934612434</v>
      </c>
      <c r="R53">
        <v>0.45124052286017119</v>
      </c>
      <c r="S53">
        <v>0.60821056393348438</v>
      </c>
      <c r="T53">
        <v>1.1650040000137343</v>
      </c>
      <c r="U53">
        <v>3.5477776172622275</v>
      </c>
      <c r="V53">
        <v>4.4101097792317967</v>
      </c>
      <c r="W53">
        <v>9.1015615463257777</v>
      </c>
      <c r="X53">
        <v>9.1015615463257777</v>
      </c>
      <c r="Y53">
        <v>27.44863082959197</v>
      </c>
      <c r="Z53">
        <v>106.38249925683955</v>
      </c>
    </row>
    <row r="54" spans="1:26" x14ac:dyDescent="0.55000000000000004">
      <c r="A54" t="s">
        <v>148</v>
      </c>
      <c r="B54" s="41">
        <v>0.41165273943682013</v>
      </c>
      <c r="C54" s="41">
        <v>8.0770918451501555E-2</v>
      </c>
      <c r="D54">
        <v>8.0770918451501555E-2</v>
      </c>
      <c r="E54">
        <v>1.6924165148467153E-2</v>
      </c>
      <c r="F54">
        <v>1.6924165148467153E-2</v>
      </c>
      <c r="G54">
        <v>3.4009069147626744E-3</v>
      </c>
      <c r="J54">
        <v>0.88435741903157006</v>
      </c>
      <c r="K54">
        <v>0.17307542852761437</v>
      </c>
      <c r="L54">
        <v>0.17307542852761437</v>
      </c>
      <c r="M54">
        <v>3.9590759186799863E-2</v>
      </c>
      <c r="N54">
        <v>3.9590759186799863E-2</v>
      </c>
      <c r="O54">
        <v>8.9551681432990804E-3</v>
      </c>
      <c r="R54">
        <v>20.675671398890564</v>
      </c>
      <c r="S54">
        <v>2.2227811032393676</v>
      </c>
      <c r="T54">
        <v>20.374580296547489</v>
      </c>
      <c r="U54">
        <v>27.337279709052357</v>
      </c>
      <c r="V54">
        <v>996.49341171290473</v>
      </c>
      <c r="W54">
        <v>6.7636600235698063</v>
      </c>
      <c r="X54">
        <v>6.7636600235698063</v>
      </c>
      <c r="Y54">
        <v>19.874379102449893</v>
      </c>
      <c r="Z54">
        <v>51.624967054545486</v>
      </c>
    </row>
    <row r="55" spans="1:26" x14ac:dyDescent="0.55000000000000004">
      <c r="A55" t="s">
        <v>83</v>
      </c>
      <c r="B55" s="41">
        <v>7.5789473684210518E-2</v>
      </c>
      <c r="C55" s="41">
        <v>7.5789473684210518E-2</v>
      </c>
      <c r="D55">
        <v>7.5789473684210518E-2</v>
      </c>
      <c r="E55">
        <v>7.5789473684210518E-2</v>
      </c>
      <c r="F55">
        <v>7.5789473684210518E-2</v>
      </c>
      <c r="G55">
        <v>7.5789473684210518E-2</v>
      </c>
      <c r="J55">
        <v>0.11051268554584699</v>
      </c>
      <c r="K55">
        <v>0.11051268554584699</v>
      </c>
      <c r="L55">
        <v>0.11051268554584699</v>
      </c>
      <c r="M55">
        <v>0.11051268554584699</v>
      </c>
      <c r="N55">
        <v>0.11051268554584699</v>
      </c>
      <c r="O55">
        <v>0.11051268554584699</v>
      </c>
      <c r="R55">
        <v>0.27567226890756302</v>
      </c>
      <c r="S55">
        <v>0.36108349815117391</v>
      </c>
      <c r="T55">
        <v>0.63391304347826116</v>
      </c>
      <c r="U55">
        <v>1.4635901010805172</v>
      </c>
      <c r="V55">
        <v>1.6780051150895137</v>
      </c>
      <c r="W55">
        <v>2.445567850902739</v>
      </c>
      <c r="X55">
        <v>2.445567850902739</v>
      </c>
      <c r="Y55">
        <v>3.4531578947368433</v>
      </c>
      <c r="Z55">
        <v>4.078321678321676</v>
      </c>
    </row>
    <row r="56" spans="1:26" x14ac:dyDescent="0.55000000000000004">
      <c r="A56" t="s">
        <v>3</v>
      </c>
      <c r="B56" s="41">
        <v>7.1144443549613842E-2</v>
      </c>
      <c r="C56" s="41">
        <v>7.1144443549613842E-2</v>
      </c>
      <c r="D56">
        <v>7.1144443549613842E-2</v>
      </c>
      <c r="E56">
        <v>7.1144443549613842E-2</v>
      </c>
      <c r="F56">
        <v>7.1144443549613842E-2</v>
      </c>
      <c r="G56">
        <v>7.1144443549613842E-2</v>
      </c>
      <c r="J56">
        <v>0.10352754664895762</v>
      </c>
      <c r="K56">
        <v>0.10352754664895762</v>
      </c>
      <c r="L56">
        <v>0.10352754664895762</v>
      </c>
      <c r="M56">
        <v>0.10352754664895762</v>
      </c>
      <c r="N56">
        <v>0.10352754664895762</v>
      </c>
      <c r="O56">
        <v>0.10352754664895762</v>
      </c>
      <c r="R56">
        <v>0.2562727243424443</v>
      </c>
      <c r="S56">
        <v>0.33454398182238959</v>
      </c>
      <c r="T56">
        <v>0.58169483465027794</v>
      </c>
      <c r="U56">
        <v>1.309711720616094</v>
      </c>
      <c r="V56">
        <v>1.4925668318690386</v>
      </c>
      <c r="W56">
        <v>2.1306726517486276</v>
      </c>
      <c r="X56">
        <v>2.1306726517486276</v>
      </c>
      <c r="Y56">
        <v>2.9316390117994051</v>
      </c>
      <c r="Z56">
        <v>3.4090579710144904</v>
      </c>
    </row>
    <row r="59" spans="1:26" x14ac:dyDescent="0.55000000000000004">
      <c r="B59" s="42" t="s">
        <v>152</v>
      </c>
      <c r="C59" s="42" t="s">
        <v>153</v>
      </c>
      <c r="D59" t="s">
        <v>154</v>
      </c>
      <c r="E59" t="s">
        <v>155</v>
      </c>
      <c r="F59" t="s">
        <v>156</v>
      </c>
      <c r="G59" t="s">
        <v>157</v>
      </c>
      <c r="J59" t="s">
        <v>152</v>
      </c>
      <c r="K59" t="s">
        <v>153</v>
      </c>
      <c r="L59" t="s">
        <v>154</v>
      </c>
      <c r="M59" t="s">
        <v>155</v>
      </c>
      <c r="N59" t="s">
        <v>156</v>
      </c>
      <c r="O59" t="s">
        <v>157</v>
      </c>
      <c r="R59" t="s">
        <v>152</v>
      </c>
      <c r="S59" t="s">
        <v>153</v>
      </c>
      <c r="T59" t="s">
        <v>154</v>
      </c>
      <c r="U59" t="s">
        <v>155</v>
      </c>
      <c r="V59" t="s">
        <v>156</v>
      </c>
      <c r="W59" t="s">
        <v>157</v>
      </c>
      <c r="X59" t="s">
        <v>164</v>
      </c>
      <c r="Y59" t="s">
        <v>164</v>
      </c>
      <c r="Z59" t="s">
        <v>164</v>
      </c>
    </row>
    <row r="60" spans="1:26" x14ac:dyDescent="0.55000000000000004">
      <c r="A60" t="s">
        <v>140</v>
      </c>
      <c r="B60" s="41">
        <v>4.787054409005628</v>
      </c>
      <c r="C60" s="41">
        <v>4.787054409005628</v>
      </c>
      <c r="D60">
        <v>3.6771767755265814</v>
      </c>
      <c r="E60">
        <v>3.6771767755265814</v>
      </c>
      <c r="F60">
        <v>3.5271966730314896</v>
      </c>
      <c r="G60">
        <v>3.5271966730314896</v>
      </c>
      <c r="J60">
        <v>5.5600600600600627</v>
      </c>
      <c r="K60">
        <v>5.5600600600600627</v>
      </c>
      <c r="L60">
        <v>3.7868000029862561</v>
      </c>
      <c r="M60">
        <v>3.7868000029862561</v>
      </c>
      <c r="N60">
        <v>3.5488030802824753</v>
      </c>
      <c r="O60">
        <v>3.5488030802824753</v>
      </c>
      <c r="R60">
        <v>14.933333333333334</v>
      </c>
      <c r="S60">
        <v>51.640350877193377</v>
      </c>
      <c r="T60">
        <v>6.7098930481283467</v>
      </c>
      <c r="U60">
        <v>67.808014228917969</v>
      </c>
      <c r="V60">
        <v>5.4313748401073996</v>
      </c>
      <c r="W60">
        <v>6.6705058257950292</v>
      </c>
      <c r="X60">
        <v>6.6705058257950292</v>
      </c>
      <c r="Y60">
        <v>8.665027658266748</v>
      </c>
      <c r="Z60">
        <v>10.176345454221881</v>
      </c>
    </row>
    <row r="61" spans="1:26" x14ac:dyDescent="0.55000000000000004">
      <c r="A61" t="s">
        <v>79</v>
      </c>
      <c r="B61" s="41">
        <v>4.7249999999999996</v>
      </c>
      <c r="C61" s="41">
        <v>4.7249999999999996</v>
      </c>
      <c r="D61">
        <v>4.7249999999999996</v>
      </c>
      <c r="E61">
        <v>4.7249999999999996</v>
      </c>
      <c r="F61">
        <v>4.7249999999999996</v>
      </c>
      <c r="G61">
        <v>4.7249999999999996</v>
      </c>
      <c r="J61">
        <v>5.03125</v>
      </c>
      <c r="K61">
        <v>5.03125</v>
      </c>
      <c r="L61">
        <v>5.03125</v>
      </c>
      <c r="M61">
        <v>5.03125</v>
      </c>
      <c r="N61">
        <v>5.03125</v>
      </c>
      <c r="O61">
        <v>5.03125</v>
      </c>
      <c r="R61">
        <v>6.2222222222222223</v>
      </c>
      <c r="S61">
        <v>6.7666666666666675</v>
      </c>
      <c r="T61">
        <v>8.4000000000000021</v>
      </c>
      <c r="U61">
        <v>13.299999999999997</v>
      </c>
      <c r="V61">
        <v>14.63636363636364</v>
      </c>
      <c r="W61">
        <v>19.833333333333357</v>
      </c>
      <c r="X61">
        <v>19.833333333333357</v>
      </c>
      <c r="Y61">
        <v>28</v>
      </c>
      <c r="Z61">
        <v>34.124999999999972</v>
      </c>
    </row>
    <row r="62" spans="1:26" x14ac:dyDescent="0.55000000000000004">
      <c r="A62" t="s">
        <v>145</v>
      </c>
      <c r="B62" s="41">
        <v>1.9399906015037593</v>
      </c>
      <c r="C62" s="41">
        <v>1.9399906015037593</v>
      </c>
      <c r="D62">
        <v>1.9399906015037593</v>
      </c>
      <c r="E62">
        <v>1.9399906015037593</v>
      </c>
      <c r="F62">
        <v>1.9399906015037593</v>
      </c>
      <c r="G62">
        <v>1.9399906015037593</v>
      </c>
      <c r="J62">
        <v>2.0001344086021504</v>
      </c>
      <c r="K62">
        <v>2.0001344086021504</v>
      </c>
      <c r="L62">
        <v>2.0001344086021504</v>
      </c>
      <c r="M62">
        <v>2.0001344086021504</v>
      </c>
      <c r="N62">
        <v>2.0001344086021504</v>
      </c>
      <c r="O62">
        <v>2.0001344086021504</v>
      </c>
      <c r="R62">
        <v>2.2564102564102564</v>
      </c>
      <c r="S62">
        <v>2.3832590115198813</v>
      </c>
      <c r="T62">
        <v>2.8000000000000003</v>
      </c>
      <c r="U62">
        <v>4.5342490842490832</v>
      </c>
      <c r="V62">
        <v>5.2136784196049</v>
      </c>
      <c r="W62">
        <v>9.9166666666666821</v>
      </c>
      <c r="X62">
        <v>2.5086311561414503</v>
      </c>
      <c r="Y62">
        <v>2.6444444444444444</v>
      </c>
      <c r="Z62">
        <v>2.7128526150766916</v>
      </c>
    </row>
    <row r="63" spans="1:26" x14ac:dyDescent="0.55000000000000004">
      <c r="A63" t="s">
        <v>150</v>
      </c>
      <c r="B63" s="41">
        <v>2.1924812030075187</v>
      </c>
      <c r="C63" s="41">
        <v>2.1924812030075187</v>
      </c>
      <c r="D63">
        <v>2.1924812030075187</v>
      </c>
      <c r="E63">
        <v>2.1924812030075187</v>
      </c>
      <c r="F63">
        <v>2.1924812030075187</v>
      </c>
      <c r="G63">
        <v>2.1924812030075187</v>
      </c>
      <c r="J63">
        <v>2.2752688172043012</v>
      </c>
      <c r="K63">
        <v>2.2752688172043012</v>
      </c>
      <c r="L63">
        <v>2.2752688172043012</v>
      </c>
      <c r="M63">
        <v>2.2752688172043012</v>
      </c>
      <c r="N63">
        <v>2.2752688172043012</v>
      </c>
      <c r="O63">
        <v>2.2752688172043012</v>
      </c>
      <c r="R63">
        <v>2.6666666666666665</v>
      </c>
      <c r="S63">
        <v>2.8752136752136757</v>
      </c>
      <c r="T63">
        <v>3.6000000000000005</v>
      </c>
      <c r="U63">
        <v>6.876190476190474</v>
      </c>
      <c r="V63">
        <v>8.201550387596896</v>
      </c>
      <c r="W63">
        <v>17.515151515151544</v>
      </c>
      <c r="X63">
        <v>2.6990804941010822</v>
      </c>
      <c r="Y63">
        <v>2.8888888888888888</v>
      </c>
      <c r="Z63">
        <v>2.9882052301533832</v>
      </c>
    </row>
    <row r="64" spans="1:26" x14ac:dyDescent="0.55000000000000004">
      <c r="A64" t="s">
        <v>146</v>
      </c>
      <c r="B64" s="41">
        <v>13.911666432789211</v>
      </c>
      <c r="C64" s="41">
        <v>13.911666432789211</v>
      </c>
      <c r="D64">
        <v>13.911666432789211</v>
      </c>
      <c r="E64">
        <v>13.911666432789211</v>
      </c>
      <c r="F64">
        <v>13.911666432789211</v>
      </c>
      <c r="G64">
        <v>13.911666432789211</v>
      </c>
      <c r="J64">
        <v>14.085814966352963</v>
      </c>
      <c r="K64">
        <v>14.085814966352963</v>
      </c>
      <c r="L64">
        <v>14.085814966352963</v>
      </c>
      <c r="M64">
        <v>14.085814966352963</v>
      </c>
      <c r="N64">
        <v>14.085814966352963</v>
      </c>
      <c r="O64">
        <v>14.085814966352963</v>
      </c>
      <c r="R64">
        <v>14.631518562987793</v>
      </c>
      <c r="S64">
        <v>14.828617679568662</v>
      </c>
      <c r="T64">
        <v>15.290092319916912</v>
      </c>
      <c r="U64">
        <v>16.06500960773721</v>
      </c>
      <c r="V64">
        <v>16.194967521955022</v>
      </c>
      <c r="W64">
        <v>16.546126796808029</v>
      </c>
      <c r="X64">
        <v>16.546126796808029</v>
      </c>
      <c r="Y64">
        <v>16.848689546973276</v>
      </c>
      <c r="Z64">
        <v>16.984818876933829</v>
      </c>
    </row>
    <row r="65" spans="1:26" x14ac:dyDescent="0.55000000000000004">
      <c r="A65" t="s">
        <v>149</v>
      </c>
      <c r="B65" s="41">
        <v>14.294183095641184</v>
      </c>
      <c r="C65" s="41">
        <v>14.294183095641184</v>
      </c>
      <c r="D65">
        <v>14.294183095641184</v>
      </c>
      <c r="E65">
        <v>14.294183095641184</v>
      </c>
      <c r="F65">
        <v>14.294183095641184</v>
      </c>
      <c r="G65">
        <v>14.294183095641184</v>
      </c>
      <c r="J65">
        <v>14.546025507964572</v>
      </c>
      <c r="K65">
        <v>14.546025507964572</v>
      </c>
      <c r="L65">
        <v>14.546025507964572</v>
      </c>
      <c r="M65">
        <v>14.546025507964572</v>
      </c>
      <c r="N65">
        <v>14.546025507964572</v>
      </c>
      <c r="O65">
        <v>14.546025507964572</v>
      </c>
      <c r="R65">
        <v>15.344389564178806</v>
      </c>
      <c r="S65">
        <v>15.636090525336533</v>
      </c>
      <c r="T65">
        <v>16.325773487001182</v>
      </c>
      <c r="U65">
        <v>17.504215942297463</v>
      </c>
      <c r="V65">
        <v>17.704242018753558</v>
      </c>
      <c r="W65">
        <v>18.248045229524521</v>
      </c>
      <c r="X65">
        <v>18.248045229524521</v>
      </c>
      <c r="Y65">
        <v>18.72037885917246</v>
      </c>
      <c r="Z65">
        <v>18.934007450771684</v>
      </c>
    </row>
    <row r="66" spans="1:26" x14ac:dyDescent="0.55000000000000004">
      <c r="A66" t="s">
        <v>147</v>
      </c>
      <c r="B66" s="41">
        <v>2.7022096220553529</v>
      </c>
      <c r="C66" s="41">
        <v>2.7022096220553529</v>
      </c>
      <c r="D66">
        <v>2.7022096220553529</v>
      </c>
      <c r="E66">
        <v>2.7022096220553529</v>
      </c>
      <c r="F66">
        <v>2.7022096220553529</v>
      </c>
      <c r="G66">
        <v>2.7022096220553529</v>
      </c>
      <c r="J66">
        <v>2.8791696823341795</v>
      </c>
      <c r="K66">
        <v>2.8791696823341795</v>
      </c>
      <c r="L66">
        <v>2.8791696823341795</v>
      </c>
      <c r="M66">
        <v>2.8791696823341795</v>
      </c>
      <c r="N66">
        <v>2.8791696823341795</v>
      </c>
      <c r="O66">
        <v>2.8791696823341795</v>
      </c>
      <c r="R66">
        <v>3.5752855632317808</v>
      </c>
      <c r="S66">
        <v>3.8987761244331431</v>
      </c>
      <c r="T66">
        <v>4.8960009903201502</v>
      </c>
      <c r="U66">
        <v>8.2844258229665453</v>
      </c>
      <c r="V66">
        <v>9.3688681660660578</v>
      </c>
      <c r="W66">
        <v>14.788695901223955</v>
      </c>
      <c r="X66">
        <v>14.788695901223955</v>
      </c>
      <c r="Y66">
        <v>33.986338078492672</v>
      </c>
      <c r="Z66">
        <v>113.40587218755014</v>
      </c>
    </row>
    <row r="67" spans="1:26" x14ac:dyDescent="0.55000000000000004">
      <c r="A67" t="s">
        <v>151</v>
      </c>
      <c r="B67" s="41">
        <v>2.8019963858531964</v>
      </c>
      <c r="C67" s="41">
        <v>2.8019963858531964</v>
      </c>
      <c r="D67">
        <v>2.8019963858531964</v>
      </c>
      <c r="E67">
        <v>2.8019963858531964</v>
      </c>
      <c r="F67">
        <v>2.8019963858531964</v>
      </c>
      <c r="G67">
        <v>2.8019963858531964</v>
      </c>
      <c r="J67">
        <v>3.0120534259963083</v>
      </c>
      <c r="K67">
        <v>3.0120534259963083</v>
      </c>
      <c r="L67">
        <v>3.0120534259963083</v>
      </c>
      <c r="M67">
        <v>3.0120534259963083</v>
      </c>
      <c r="N67">
        <v>3.0120534259963083</v>
      </c>
      <c r="O67">
        <v>3.0120534259963083</v>
      </c>
      <c r="R67">
        <v>3.8684843624699274</v>
      </c>
      <c r="S67">
        <v>4.2823558222113398</v>
      </c>
      <c r="T67">
        <v>5.6180124223602492</v>
      </c>
      <c r="U67">
        <v>10.722508189050073</v>
      </c>
      <c r="V67">
        <v>12.500225326723742</v>
      </c>
      <c r="W67">
        <v>22.021482277121365</v>
      </c>
      <c r="X67">
        <v>22.021482277121365</v>
      </c>
      <c r="Y67">
        <v>58.829268292683111</v>
      </c>
      <c r="Z67">
        <v>216.74654377880645</v>
      </c>
    </row>
    <row r="68" spans="1:26" x14ac:dyDescent="0.55000000000000004">
      <c r="A68" t="s">
        <v>148</v>
      </c>
      <c r="B68" s="41">
        <v>7.4511847453706936</v>
      </c>
      <c r="C68" s="41">
        <v>6.2847388429547646</v>
      </c>
      <c r="D68">
        <v>6.2847388429547646</v>
      </c>
      <c r="E68">
        <v>6.0596621568101074</v>
      </c>
      <c r="F68">
        <v>6.0596621568101074</v>
      </c>
      <c r="G68">
        <v>6.0119890960567428</v>
      </c>
      <c r="J68">
        <v>8.655727985079789</v>
      </c>
      <c r="K68">
        <v>6.5197460316144573</v>
      </c>
      <c r="L68">
        <v>6.5197460316144573</v>
      </c>
      <c r="M68">
        <v>6.118891168729129</v>
      </c>
      <c r="N68">
        <v>6.118891168729129</v>
      </c>
      <c r="O68">
        <v>6.0268923968267236</v>
      </c>
      <c r="R68">
        <v>49.192419686936809</v>
      </c>
      <c r="S68">
        <v>10.208163728550833</v>
      </c>
      <c r="T68">
        <v>37.922569990673693</v>
      </c>
      <c r="U68">
        <v>39.908363655307141</v>
      </c>
      <c r="V68">
        <v>1202.9890831386242</v>
      </c>
      <c r="W68">
        <v>13.506346807722071</v>
      </c>
      <c r="X68">
        <v>13.506346807722071</v>
      </c>
      <c r="Y68">
        <v>26.759241783470316</v>
      </c>
      <c r="Z68">
        <v>58.575367936474052</v>
      </c>
    </row>
    <row r="69" spans="1:26" x14ac:dyDescent="0.55000000000000004">
      <c r="A69" t="s">
        <v>83</v>
      </c>
      <c r="B69" s="41">
        <v>7.8947368421052637</v>
      </c>
      <c r="C69" s="41">
        <v>7.8947368421052637</v>
      </c>
      <c r="D69">
        <v>7.8947368421052637</v>
      </c>
      <c r="E69">
        <v>7.8947368421052637</v>
      </c>
      <c r="F69">
        <v>7.8947368421052637</v>
      </c>
      <c r="G69">
        <v>7.8947368421052637</v>
      </c>
      <c r="J69">
        <v>8.3535108958837778</v>
      </c>
      <c r="K69">
        <v>8.3535108958837778</v>
      </c>
      <c r="L69">
        <v>8.3535108958837778</v>
      </c>
      <c r="M69">
        <v>8.3535108958837778</v>
      </c>
      <c r="N69">
        <v>8.3535108958837778</v>
      </c>
      <c r="O69">
        <v>8.3535108958837778</v>
      </c>
      <c r="R69">
        <v>10.084033613445378</v>
      </c>
      <c r="S69">
        <v>10.847880299251871</v>
      </c>
      <c r="T69">
        <v>13.04347826086957</v>
      </c>
      <c r="U69">
        <v>18.874172185430474</v>
      </c>
      <c r="V69">
        <v>20.294117647058819</v>
      </c>
      <c r="W69">
        <v>25.247524752475258</v>
      </c>
      <c r="X69">
        <v>25.247524752475258</v>
      </c>
      <c r="Y69">
        <v>31.578947368421058</v>
      </c>
      <c r="Z69">
        <v>35.454545454545439</v>
      </c>
    </row>
    <row r="70" spans="1:26" x14ac:dyDescent="0.55000000000000004">
      <c r="A70" t="s">
        <v>3</v>
      </c>
      <c r="B70" s="41">
        <v>6.5233148103406613</v>
      </c>
      <c r="C70" s="41">
        <v>6.5233148103406613</v>
      </c>
      <c r="D70">
        <v>6.5233148103406613</v>
      </c>
      <c r="E70">
        <v>6.5233148103406613</v>
      </c>
      <c r="F70">
        <v>6.5233148103406613</v>
      </c>
      <c r="G70">
        <v>6.5233148103406613</v>
      </c>
      <c r="J70">
        <v>6.8882899071578318</v>
      </c>
      <c r="K70">
        <v>6.8882899071578318</v>
      </c>
      <c r="L70">
        <v>6.8882899071578318</v>
      </c>
      <c r="M70">
        <v>6.8882899071578318</v>
      </c>
      <c r="N70">
        <v>6.8882899071578318</v>
      </c>
      <c r="O70">
        <v>6.8882899071578318</v>
      </c>
      <c r="R70">
        <v>8.2516761217122205</v>
      </c>
      <c r="S70">
        <v>8.8468578401464306</v>
      </c>
      <c r="T70">
        <v>10.535557506584723</v>
      </c>
      <c r="U70">
        <v>14.866979655712049</v>
      </c>
      <c r="V70">
        <v>15.8894645941278</v>
      </c>
      <c r="W70">
        <v>19.362186788154901</v>
      </c>
      <c r="X70">
        <v>19.362186788154901</v>
      </c>
      <c r="Y70">
        <v>23.598820058997024</v>
      </c>
      <c r="Z70">
        <v>26.086956521739118</v>
      </c>
    </row>
    <row r="73" spans="1:26" x14ac:dyDescent="0.55000000000000004">
      <c r="B73" s="42" t="s">
        <v>152</v>
      </c>
      <c r="C73" s="42" t="s">
        <v>153</v>
      </c>
      <c r="D73" t="s">
        <v>154</v>
      </c>
      <c r="E73" t="s">
        <v>155</v>
      </c>
      <c r="F73" t="s">
        <v>156</v>
      </c>
      <c r="G73" t="s">
        <v>157</v>
      </c>
      <c r="J73" t="s">
        <v>152</v>
      </c>
      <c r="K73" t="s">
        <v>153</v>
      </c>
      <c r="L73" t="s">
        <v>154</v>
      </c>
      <c r="M73" t="s">
        <v>155</v>
      </c>
      <c r="N73" t="s">
        <v>156</v>
      </c>
      <c r="O73" t="s">
        <v>157</v>
      </c>
      <c r="R73" t="s">
        <v>152</v>
      </c>
      <c r="S73" t="s">
        <v>153</v>
      </c>
      <c r="T73" t="s">
        <v>154</v>
      </c>
      <c r="U73" t="s">
        <v>155</v>
      </c>
      <c r="V73" t="s">
        <v>156</v>
      </c>
      <c r="W73" t="s">
        <v>157</v>
      </c>
      <c r="X73" t="s">
        <v>164</v>
      </c>
      <c r="Y73" t="s">
        <v>164</v>
      </c>
      <c r="Z73" t="s">
        <v>164</v>
      </c>
    </row>
    <row r="74" spans="1:26" x14ac:dyDescent="0.55000000000000004">
      <c r="A74" t="s">
        <v>140</v>
      </c>
      <c r="B74" s="41">
        <v>1.4183864915572231</v>
      </c>
      <c r="C74" s="41">
        <v>1.4183864915572231</v>
      </c>
      <c r="D74">
        <v>1.0895338594152832</v>
      </c>
      <c r="E74">
        <v>1.0895338594152832</v>
      </c>
      <c r="F74">
        <v>1.0450953105278487</v>
      </c>
      <c r="G74">
        <v>1.0450953105278487</v>
      </c>
      <c r="J74">
        <v>1.9339339339339352</v>
      </c>
      <c r="K74">
        <v>1.9339339339339352</v>
      </c>
      <c r="L74">
        <v>1.3171478271256545</v>
      </c>
      <c r="M74">
        <v>1.3171478271256545</v>
      </c>
      <c r="N74">
        <v>1.2343662887939046</v>
      </c>
      <c r="O74">
        <v>1.2343662887939046</v>
      </c>
      <c r="R74">
        <v>7.4666666666666668</v>
      </c>
      <c r="S74">
        <v>28.491228070175662</v>
      </c>
      <c r="T74">
        <v>4.4732620320855654</v>
      </c>
      <c r="U74">
        <v>57.101485666457236</v>
      </c>
      <c r="V74">
        <v>4.7229346435716515</v>
      </c>
      <c r="W74">
        <v>6.2781231301600284</v>
      </c>
      <c r="X74">
        <v>6.2781231301600284</v>
      </c>
      <c r="Y74">
        <v>8.665027658266748</v>
      </c>
      <c r="Z74">
        <v>10.437277388945517</v>
      </c>
    </row>
    <row r="75" spans="1:26" x14ac:dyDescent="0.55000000000000004">
      <c r="A75" t="s">
        <v>79</v>
      </c>
      <c r="B75" s="41">
        <v>0.35</v>
      </c>
      <c r="C75" s="41">
        <v>0.35</v>
      </c>
      <c r="D75">
        <v>0.35</v>
      </c>
      <c r="E75">
        <v>0.35</v>
      </c>
      <c r="F75">
        <v>0.35</v>
      </c>
      <c r="G75">
        <v>0.35</v>
      </c>
      <c r="J75">
        <v>0.43750000000000006</v>
      </c>
      <c r="K75">
        <v>0.43750000000000006</v>
      </c>
      <c r="L75">
        <v>0.43750000000000006</v>
      </c>
      <c r="M75">
        <v>0.43750000000000006</v>
      </c>
      <c r="N75">
        <v>0.43750000000000006</v>
      </c>
      <c r="O75">
        <v>0.43750000000000006</v>
      </c>
      <c r="R75">
        <v>0.77777777777777779</v>
      </c>
      <c r="S75">
        <v>0.93333333333333357</v>
      </c>
      <c r="T75">
        <v>1.4000000000000006</v>
      </c>
      <c r="U75">
        <v>2.7999999999999994</v>
      </c>
      <c r="V75">
        <v>3.1818181818181825</v>
      </c>
      <c r="W75">
        <v>4.6666666666666723</v>
      </c>
      <c r="X75">
        <v>4.6666666666666723</v>
      </c>
      <c r="Y75">
        <v>7</v>
      </c>
      <c r="Z75">
        <v>8.7499999999999911</v>
      </c>
    </row>
    <row r="76" spans="1:26" x14ac:dyDescent="0.55000000000000004">
      <c r="A76" t="s">
        <v>145</v>
      </c>
      <c r="B76" s="41">
        <v>0.38731203007518794</v>
      </c>
      <c r="C76" s="41">
        <v>0.38731203007518794</v>
      </c>
      <c r="D76">
        <v>0.38731203007518794</v>
      </c>
      <c r="E76">
        <v>0.38731203007518794</v>
      </c>
      <c r="F76">
        <v>0.38731203007518794</v>
      </c>
      <c r="G76">
        <v>0.38731203007518794</v>
      </c>
      <c r="J76">
        <v>0.47069892473118286</v>
      </c>
      <c r="K76">
        <v>0.47069892473118286</v>
      </c>
      <c r="L76">
        <v>0.47069892473118286</v>
      </c>
      <c r="M76">
        <v>0.47069892473118286</v>
      </c>
      <c r="N76">
        <v>0.47069892473118286</v>
      </c>
      <c r="O76">
        <v>0.47069892473118286</v>
      </c>
      <c r="R76">
        <v>0.78205128205128205</v>
      </c>
      <c r="S76">
        <v>0.92359717577108913</v>
      </c>
      <c r="T76">
        <v>1.3666666666666671</v>
      </c>
      <c r="U76">
        <v>3.1260073260073251</v>
      </c>
      <c r="V76">
        <v>3.8078269567391829</v>
      </c>
      <c r="W76">
        <v>8.5151515151515298</v>
      </c>
      <c r="X76">
        <v>1.5428827993630763</v>
      </c>
      <c r="Y76">
        <v>1.7444444444444445</v>
      </c>
      <c r="Z76">
        <v>1.8449129385401963</v>
      </c>
    </row>
    <row r="77" spans="1:26" x14ac:dyDescent="0.55000000000000004">
      <c r="A77" t="s">
        <v>150</v>
      </c>
      <c r="B77" s="41">
        <v>0.64962406015037588</v>
      </c>
      <c r="C77" s="41">
        <v>0.64962406015037588</v>
      </c>
      <c r="D77">
        <v>0.64962406015037588</v>
      </c>
      <c r="E77">
        <v>0.64962406015037588</v>
      </c>
      <c r="F77">
        <v>0.64962406015037588</v>
      </c>
      <c r="G77">
        <v>0.64962406015037588</v>
      </c>
      <c r="J77">
        <v>0.79139784946236569</v>
      </c>
      <c r="K77">
        <v>0.79139784946236569</v>
      </c>
      <c r="L77">
        <v>0.79139784946236569</v>
      </c>
      <c r="M77">
        <v>0.79139784946236569</v>
      </c>
      <c r="N77">
        <v>0.79139784946236569</v>
      </c>
      <c r="O77">
        <v>0.79139784946236569</v>
      </c>
      <c r="R77">
        <v>1.3333333333333333</v>
      </c>
      <c r="S77">
        <v>1.5863247863247869</v>
      </c>
      <c r="T77">
        <v>2.4000000000000008</v>
      </c>
      <c r="U77">
        <v>5.7904761904761886</v>
      </c>
      <c r="V77">
        <v>7.1317829457364308</v>
      </c>
      <c r="W77">
        <v>16.484848484848513</v>
      </c>
      <c r="X77">
        <v>2.5403110532716071</v>
      </c>
      <c r="Y77">
        <v>2.8888888888888888</v>
      </c>
      <c r="Z77">
        <v>3.0648258770803927</v>
      </c>
    </row>
    <row r="78" spans="1:26" x14ac:dyDescent="0.55000000000000004">
      <c r="A78" t="s">
        <v>146</v>
      </c>
      <c r="B78" s="41">
        <v>7.0128187137631637E-2</v>
      </c>
      <c r="C78" s="41">
        <v>7.0128187137631637E-2</v>
      </c>
      <c r="D78">
        <v>7.0128187137631637E-2</v>
      </c>
      <c r="E78">
        <v>7.0128187137631637E-2</v>
      </c>
      <c r="F78">
        <v>7.0128187137631637E-2</v>
      </c>
      <c r="G78">
        <v>7.0128187137631637E-2</v>
      </c>
      <c r="J78">
        <v>8.3524228180997195E-2</v>
      </c>
      <c r="K78">
        <v>8.3524228180997195E-2</v>
      </c>
      <c r="L78">
        <v>8.3524228180997195E-2</v>
      </c>
      <c r="M78">
        <v>8.3524228180997195E-2</v>
      </c>
      <c r="N78">
        <v>8.3524228180997195E-2</v>
      </c>
      <c r="O78">
        <v>8.3524228180997195E-2</v>
      </c>
      <c r="R78">
        <v>0.12550142792213798</v>
      </c>
      <c r="S78">
        <v>0.14066289842835863</v>
      </c>
      <c r="T78">
        <v>0.17616094768591631</v>
      </c>
      <c r="U78">
        <v>0.23576996982593934</v>
      </c>
      <c r="V78">
        <v>0.24576673245807856</v>
      </c>
      <c r="W78">
        <v>0.27277898436984838</v>
      </c>
      <c r="X78">
        <v>0.27277898436984838</v>
      </c>
      <c r="Y78">
        <v>0.29605304207486732</v>
      </c>
      <c r="Z78">
        <v>0.30652452899491012</v>
      </c>
    </row>
    <row r="79" spans="1:26" x14ac:dyDescent="0.55000000000000004">
      <c r="A79" t="s">
        <v>149</v>
      </c>
      <c r="B79" s="41">
        <v>9.9552545818552676E-2</v>
      </c>
      <c r="C79" s="41">
        <v>9.9552545818552676E-2</v>
      </c>
      <c r="D79">
        <v>9.9552545818552676E-2</v>
      </c>
      <c r="E79">
        <v>9.9552545818552676E-2</v>
      </c>
      <c r="F79">
        <v>9.9552545818552676E-2</v>
      </c>
      <c r="G79">
        <v>9.9552545818552676E-2</v>
      </c>
      <c r="J79">
        <v>0.11892503907419791</v>
      </c>
      <c r="K79">
        <v>0.11892503907419791</v>
      </c>
      <c r="L79">
        <v>0.11892503907419791</v>
      </c>
      <c r="M79">
        <v>0.11892503907419791</v>
      </c>
      <c r="N79">
        <v>0.11892503907419791</v>
      </c>
      <c r="O79">
        <v>0.11892503907419791</v>
      </c>
      <c r="R79">
        <v>0.18033765878298516</v>
      </c>
      <c r="S79">
        <v>0.20277619425665638</v>
      </c>
      <c r="T79">
        <v>0.25582872976932175</v>
      </c>
      <c r="U79">
        <v>0.34647814940749722</v>
      </c>
      <c r="V79">
        <v>0.36186477067335054</v>
      </c>
      <c r="W79">
        <v>0.40369578688650154</v>
      </c>
      <c r="X79">
        <v>0.40369578688650154</v>
      </c>
      <c r="Y79">
        <v>0.44002914301326612</v>
      </c>
      <c r="Z79">
        <v>0.45646211159782191</v>
      </c>
    </row>
    <row r="80" spans="1:26" x14ac:dyDescent="0.55000000000000004">
      <c r="A80" t="s">
        <v>147</v>
      </c>
      <c r="B80" s="41">
        <v>0.35110481102767638</v>
      </c>
      <c r="C80" s="41">
        <v>0.35110481102767638</v>
      </c>
      <c r="D80">
        <v>0.35110481102767638</v>
      </c>
      <c r="E80">
        <v>0.35110481102767638</v>
      </c>
      <c r="F80">
        <v>0.35110481102767638</v>
      </c>
      <c r="G80">
        <v>0.35110481102767638</v>
      </c>
      <c r="J80">
        <v>0.43958484116708962</v>
      </c>
      <c r="K80">
        <v>0.43958484116708962</v>
      </c>
      <c r="L80">
        <v>0.43958484116708962</v>
      </c>
      <c r="M80">
        <v>0.43958484116708962</v>
      </c>
      <c r="N80">
        <v>0.43958484116708962</v>
      </c>
      <c r="O80">
        <v>0.43958484116708962</v>
      </c>
      <c r="R80">
        <v>0.78764278161589052</v>
      </c>
      <c r="S80">
        <v>0.94938806221657146</v>
      </c>
      <c r="T80">
        <v>1.4480004951600749</v>
      </c>
      <c r="U80">
        <v>3.1422129114832726</v>
      </c>
      <c r="V80">
        <v>3.6844340830330289</v>
      </c>
      <c r="W80">
        <v>6.3943479506119774</v>
      </c>
      <c r="X80">
        <v>6.3943479506119774</v>
      </c>
      <c r="Y80">
        <v>15.993169039246336</v>
      </c>
      <c r="Z80">
        <v>55.702936093775072</v>
      </c>
    </row>
    <row r="81" spans="1:26" x14ac:dyDescent="0.55000000000000004">
      <c r="A81" t="s">
        <v>151</v>
      </c>
      <c r="B81" s="41">
        <v>0.40099819292659833</v>
      </c>
      <c r="C81" s="41">
        <v>0.40099819292659833</v>
      </c>
      <c r="D81">
        <v>0.40099819292659833</v>
      </c>
      <c r="E81">
        <v>0.40099819292659833</v>
      </c>
      <c r="F81">
        <v>0.40099819292659833</v>
      </c>
      <c r="G81">
        <v>0.40099819292659833</v>
      </c>
      <c r="J81">
        <v>0.50602671299815416</v>
      </c>
      <c r="K81">
        <v>0.50602671299815416</v>
      </c>
      <c r="L81">
        <v>0.50602671299815416</v>
      </c>
      <c r="M81">
        <v>0.50602671299815416</v>
      </c>
      <c r="N81">
        <v>0.50602671299815416</v>
      </c>
      <c r="O81">
        <v>0.50602671299815416</v>
      </c>
      <c r="R81">
        <v>0.93424218123496394</v>
      </c>
      <c r="S81">
        <v>1.1411779111056697</v>
      </c>
      <c r="T81">
        <v>1.8090062111801246</v>
      </c>
      <c r="U81">
        <v>4.3612540945250364</v>
      </c>
      <c r="V81">
        <v>5.2501126633618709</v>
      </c>
      <c r="W81">
        <v>10.010741138560682</v>
      </c>
      <c r="X81">
        <v>10.010741138560682</v>
      </c>
      <c r="Y81">
        <v>28.414634146341555</v>
      </c>
      <c r="Z81">
        <v>107.37327188940323</v>
      </c>
    </row>
    <row r="82" spans="1:26" x14ac:dyDescent="0.55000000000000004">
      <c r="A82" t="s">
        <v>148</v>
      </c>
      <c r="B82" s="41">
        <v>2.1136527394368199</v>
      </c>
      <c r="C82" s="41">
        <v>1.7827709184515013</v>
      </c>
      <c r="D82">
        <v>1.7827709184515013</v>
      </c>
      <c r="E82">
        <v>1.7189241651484668</v>
      </c>
      <c r="F82">
        <v>1.7189241651484668</v>
      </c>
      <c r="G82">
        <v>1.7054009069147624</v>
      </c>
      <c r="J82">
        <v>2.8823574190315702</v>
      </c>
      <c r="K82">
        <v>2.1710754285276148</v>
      </c>
      <c r="L82">
        <v>2.1710754285276148</v>
      </c>
      <c r="M82">
        <v>2.0375907591868003</v>
      </c>
      <c r="N82">
        <v>2.0375907591868003</v>
      </c>
      <c r="O82">
        <v>2.0069551681432993</v>
      </c>
      <c r="R82">
        <v>23.547796398890561</v>
      </c>
      <c r="S82">
        <v>5.3920224825497121</v>
      </c>
      <c r="T82">
        <v>24.204080296547488</v>
      </c>
      <c r="U82">
        <v>32.174542866947093</v>
      </c>
      <c r="V82">
        <v>1001.4884117129046</v>
      </c>
      <c r="W82">
        <v>12.170012964746277</v>
      </c>
      <c r="X82">
        <v>12.170012964746277</v>
      </c>
      <c r="Y82">
        <v>25.618629102449894</v>
      </c>
      <c r="Z82">
        <v>57.516505516083946</v>
      </c>
    </row>
    <row r="83" spans="1:26" x14ac:dyDescent="0.55000000000000004">
      <c r="A83" t="s">
        <v>83</v>
      </c>
      <c r="B83" s="41">
        <v>0.31578947368421051</v>
      </c>
      <c r="C83" s="41">
        <v>0.31578947368421051</v>
      </c>
      <c r="D83">
        <v>0.31578947368421051</v>
      </c>
      <c r="E83">
        <v>0.31578947368421051</v>
      </c>
      <c r="F83">
        <v>0.31578947368421051</v>
      </c>
      <c r="G83">
        <v>0.31578947368421051</v>
      </c>
      <c r="J83">
        <v>0.39225181598062958</v>
      </c>
      <c r="K83">
        <v>0.39225181598062958</v>
      </c>
      <c r="L83">
        <v>0.39225181598062958</v>
      </c>
      <c r="M83">
        <v>0.39225181598062958</v>
      </c>
      <c r="N83">
        <v>0.39225181598062958</v>
      </c>
      <c r="O83">
        <v>0.39225181598062958</v>
      </c>
      <c r="R83">
        <v>0.68067226890756305</v>
      </c>
      <c r="S83">
        <v>0.80798004987531191</v>
      </c>
      <c r="T83">
        <v>1.1739130434782612</v>
      </c>
      <c r="U83">
        <v>2.1456953642384122</v>
      </c>
      <c r="V83">
        <v>2.3823529411764697</v>
      </c>
      <c r="W83">
        <v>3.2079207920792094</v>
      </c>
      <c r="X83">
        <v>3.2079207920792094</v>
      </c>
      <c r="Y83">
        <v>4.2631578947368434</v>
      </c>
      <c r="Z83">
        <v>4.9090909090909065</v>
      </c>
    </row>
    <row r="84" spans="1:26" x14ac:dyDescent="0.55000000000000004">
      <c r="A84" t="s">
        <v>3</v>
      </c>
      <c r="B84" s="41">
        <v>0.30466296206813231</v>
      </c>
      <c r="C84" s="41">
        <v>0.30466296206813231</v>
      </c>
      <c r="D84">
        <v>0.30466296206813231</v>
      </c>
      <c r="E84">
        <v>0.30466296206813231</v>
      </c>
      <c r="F84">
        <v>0.30466296206813231</v>
      </c>
      <c r="G84">
        <v>0.30466296206813231</v>
      </c>
      <c r="J84">
        <v>0.37765798143156637</v>
      </c>
      <c r="K84">
        <v>0.37765798143156637</v>
      </c>
      <c r="L84">
        <v>0.37765798143156637</v>
      </c>
      <c r="M84">
        <v>0.37765798143156637</v>
      </c>
      <c r="N84">
        <v>0.37765798143156637</v>
      </c>
      <c r="O84">
        <v>0.37765798143156637</v>
      </c>
      <c r="R84">
        <v>0.65033522434244417</v>
      </c>
      <c r="S84">
        <v>0.76937156802928619</v>
      </c>
      <c r="T84">
        <v>1.1071115013169446</v>
      </c>
      <c r="U84">
        <v>1.9733959311424099</v>
      </c>
      <c r="V84">
        <v>2.17789291882556</v>
      </c>
      <c r="W84">
        <v>2.8724373576309805</v>
      </c>
      <c r="X84">
        <v>2.8724373576309805</v>
      </c>
      <c r="Y84">
        <v>3.7197640117994051</v>
      </c>
      <c r="Z84">
        <v>4.2173913043478235</v>
      </c>
    </row>
    <row r="87" spans="1:26" x14ac:dyDescent="0.55000000000000004">
      <c r="B87" s="42" t="s">
        <v>152</v>
      </c>
      <c r="C87" s="42" t="s">
        <v>153</v>
      </c>
      <c r="D87" t="s">
        <v>154</v>
      </c>
      <c r="E87" t="s">
        <v>155</v>
      </c>
      <c r="F87" t="s">
        <v>156</v>
      </c>
      <c r="G87" t="s">
        <v>157</v>
      </c>
      <c r="J87" t="s">
        <v>152</v>
      </c>
      <c r="K87" t="s">
        <v>153</v>
      </c>
      <c r="L87" t="s">
        <v>154</v>
      </c>
      <c r="M87" t="s">
        <v>155</v>
      </c>
      <c r="N87" t="s">
        <v>156</v>
      </c>
      <c r="O87" t="s">
        <v>157</v>
      </c>
      <c r="R87" t="s">
        <v>152</v>
      </c>
      <c r="S87" t="s">
        <v>153</v>
      </c>
      <c r="T87" t="s">
        <v>154</v>
      </c>
      <c r="U87" t="s">
        <v>155</v>
      </c>
      <c r="V87" t="s">
        <v>156</v>
      </c>
      <c r="W87" t="s">
        <v>157</v>
      </c>
      <c r="X87" t="s">
        <v>164</v>
      </c>
      <c r="Y87" t="s">
        <v>164</v>
      </c>
      <c r="Z87" t="s">
        <v>164</v>
      </c>
    </row>
    <row r="88" spans="1:26" x14ac:dyDescent="0.55000000000000004">
      <c r="A88" t="s">
        <v>140</v>
      </c>
      <c r="B88" s="41">
        <v>2</v>
      </c>
      <c r="C88" s="41">
        <v>2</v>
      </c>
      <c r="D88">
        <v>3</v>
      </c>
      <c r="E88">
        <v>3</v>
      </c>
      <c r="F88">
        <v>4</v>
      </c>
      <c r="G88">
        <v>4</v>
      </c>
      <c r="J88">
        <v>2</v>
      </c>
      <c r="K88">
        <v>2</v>
      </c>
      <c r="L88">
        <v>3</v>
      </c>
      <c r="M88">
        <v>3</v>
      </c>
      <c r="N88">
        <v>4</v>
      </c>
      <c r="O88">
        <v>4</v>
      </c>
      <c r="Q88" t="s">
        <v>140</v>
      </c>
      <c r="R88">
        <v>2</v>
      </c>
      <c r="S88">
        <v>2</v>
      </c>
      <c r="T88">
        <v>3</v>
      </c>
      <c r="U88">
        <v>3</v>
      </c>
      <c r="V88">
        <v>4</v>
      </c>
      <c r="W88">
        <v>4</v>
      </c>
      <c r="X88">
        <v>4</v>
      </c>
      <c r="Y88">
        <v>4</v>
      </c>
      <c r="Z88">
        <v>4</v>
      </c>
    </row>
    <row r="89" spans="1:26" x14ac:dyDescent="0.55000000000000004">
      <c r="A89" t="s">
        <v>79</v>
      </c>
      <c r="B89" s="41">
        <v>1</v>
      </c>
      <c r="C89" s="41">
        <v>1</v>
      </c>
      <c r="D89">
        <v>1</v>
      </c>
      <c r="E89">
        <v>1</v>
      </c>
      <c r="F89">
        <v>1</v>
      </c>
      <c r="G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Q89" t="s">
        <v>79</v>
      </c>
      <c r="R89">
        <v>1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</row>
    <row r="90" spans="1:26" x14ac:dyDescent="0.55000000000000004">
      <c r="A90" t="s">
        <v>145</v>
      </c>
      <c r="B90" s="41">
        <v>1.5</v>
      </c>
      <c r="C90" s="41">
        <v>1.5</v>
      </c>
      <c r="D90">
        <v>1.5</v>
      </c>
      <c r="E90">
        <v>1.5</v>
      </c>
      <c r="F90">
        <v>1.5</v>
      </c>
      <c r="G90">
        <v>1.5</v>
      </c>
      <c r="J90">
        <v>1.5</v>
      </c>
      <c r="K90">
        <v>1.5</v>
      </c>
      <c r="L90">
        <v>1.5</v>
      </c>
      <c r="M90">
        <v>1.5</v>
      </c>
      <c r="N90">
        <v>1.5</v>
      </c>
      <c r="O90">
        <v>1.5</v>
      </c>
      <c r="Q90" t="s">
        <v>145</v>
      </c>
      <c r="R90">
        <v>1.5</v>
      </c>
      <c r="S90">
        <v>1.5</v>
      </c>
      <c r="T90">
        <v>1.5</v>
      </c>
      <c r="U90">
        <v>1.5</v>
      </c>
      <c r="V90">
        <v>1.5</v>
      </c>
      <c r="W90">
        <v>1.5</v>
      </c>
      <c r="X90">
        <v>2</v>
      </c>
      <c r="Y90">
        <v>2</v>
      </c>
      <c r="Z90">
        <v>2</v>
      </c>
    </row>
    <row r="91" spans="1:26" x14ac:dyDescent="0.55000000000000004">
      <c r="A91" t="s">
        <v>150</v>
      </c>
      <c r="B91" s="41">
        <v>2</v>
      </c>
      <c r="C91" s="41">
        <v>2</v>
      </c>
      <c r="D91">
        <v>2</v>
      </c>
      <c r="E91">
        <v>2</v>
      </c>
      <c r="F91">
        <v>2</v>
      </c>
      <c r="G91">
        <v>2</v>
      </c>
      <c r="J91">
        <v>2</v>
      </c>
      <c r="K91">
        <v>2</v>
      </c>
      <c r="L91">
        <v>2</v>
      </c>
      <c r="M91">
        <v>2</v>
      </c>
      <c r="N91">
        <v>2</v>
      </c>
      <c r="O91">
        <v>2</v>
      </c>
      <c r="Q91" t="s">
        <v>150</v>
      </c>
      <c r="R91">
        <v>2</v>
      </c>
      <c r="S91">
        <v>2</v>
      </c>
      <c r="T91">
        <v>2</v>
      </c>
      <c r="U91">
        <v>2</v>
      </c>
      <c r="V91">
        <v>2</v>
      </c>
      <c r="W91">
        <v>2</v>
      </c>
      <c r="X91">
        <v>3</v>
      </c>
      <c r="Y91">
        <v>3</v>
      </c>
      <c r="Z91">
        <v>3</v>
      </c>
    </row>
    <row r="92" spans="1:26" x14ac:dyDescent="0.55000000000000004">
      <c r="A92" t="s">
        <v>146</v>
      </c>
      <c r="B92" s="41">
        <v>1</v>
      </c>
      <c r="C92" s="41">
        <v>1</v>
      </c>
      <c r="D92">
        <v>1</v>
      </c>
      <c r="E92">
        <v>1</v>
      </c>
      <c r="F92">
        <v>1</v>
      </c>
      <c r="G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Q92" t="s">
        <v>146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</row>
    <row r="93" spans="1:26" x14ac:dyDescent="0.55000000000000004">
      <c r="A93" t="s">
        <v>149</v>
      </c>
      <c r="B93" s="41">
        <v>1</v>
      </c>
      <c r="C93" s="41">
        <v>1</v>
      </c>
      <c r="D93">
        <v>1</v>
      </c>
      <c r="E93">
        <v>1</v>
      </c>
      <c r="F93">
        <v>1</v>
      </c>
      <c r="G93">
        <v>1</v>
      </c>
      <c r="J93">
        <v>1</v>
      </c>
      <c r="K93">
        <v>1</v>
      </c>
      <c r="L93">
        <v>1</v>
      </c>
      <c r="M93">
        <v>1</v>
      </c>
      <c r="N93">
        <v>1</v>
      </c>
      <c r="O93">
        <v>1</v>
      </c>
      <c r="Q93" t="s">
        <v>149</v>
      </c>
      <c r="R93">
        <v>1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</row>
    <row r="94" spans="1:26" x14ac:dyDescent="0.55000000000000004">
      <c r="A94" t="s">
        <v>147</v>
      </c>
      <c r="B94" s="41">
        <v>1</v>
      </c>
      <c r="C94" s="41">
        <v>1</v>
      </c>
      <c r="D94">
        <v>1</v>
      </c>
      <c r="E94">
        <v>1</v>
      </c>
      <c r="F94">
        <v>1</v>
      </c>
      <c r="G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Q94" t="s">
        <v>147</v>
      </c>
      <c r="R94">
        <v>1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</row>
    <row r="95" spans="1:26" x14ac:dyDescent="0.55000000000000004">
      <c r="A95" t="s">
        <v>151</v>
      </c>
      <c r="B95" s="41">
        <v>1</v>
      </c>
      <c r="C95" s="41">
        <v>1</v>
      </c>
      <c r="D95">
        <v>1</v>
      </c>
      <c r="E95">
        <v>1</v>
      </c>
      <c r="F95">
        <v>1</v>
      </c>
      <c r="G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Q95" t="s">
        <v>151</v>
      </c>
      <c r="R95">
        <v>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</row>
    <row r="96" spans="1:26" x14ac:dyDescent="0.55000000000000004">
      <c r="A96" t="s">
        <v>148</v>
      </c>
      <c r="B96" s="41">
        <v>3</v>
      </c>
      <c r="C96" s="41">
        <v>4</v>
      </c>
      <c r="D96">
        <v>4</v>
      </c>
      <c r="E96">
        <v>5</v>
      </c>
      <c r="F96">
        <v>5</v>
      </c>
      <c r="G96">
        <v>6</v>
      </c>
      <c r="J96">
        <v>3</v>
      </c>
      <c r="K96">
        <v>4</v>
      </c>
      <c r="L96">
        <v>4</v>
      </c>
      <c r="M96">
        <v>5</v>
      </c>
      <c r="N96">
        <v>5</v>
      </c>
      <c r="O96">
        <v>6</v>
      </c>
      <c r="Q96" t="s">
        <v>148</v>
      </c>
      <c r="R96">
        <v>3</v>
      </c>
      <c r="S96">
        <v>4</v>
      </c>
      <c r="T96">
        <v>4</v>
      </c>
      <c r="U96">
        <v>5</v>
      </c>
      <c r="V96">
        <v>5</v>
      </c>
      <c r="W96">
        <v>6</v>
      </c>
      <c r="X96">
        <v>6</v>
      </c>
      <c r="Y96">
        <v>6</v>
      </c>
      <c r="Z96">
        <v>6</v>
      </c>
    </row>
    <row r="97" spans="1:26" x14ac:dyDescent="0.55000000000000004">
      <c r="A97" t="s">
        <v>83</v>
      </c>
      <c r="B97" s="41">
        <v>1</v>
      </c>
      <c r="C97" s="41">
        <v>1</v>
      </c>
      <c r="D97">
        <v>1</v>
      </c>
      <c r="E97">
        <v>1</v>
      </c>
      <c r="F97">
        <v>1</v>
      </c>
      <c r="G97">
        <v>1</v>
      </c>
      <c r="J97">
        <v>1</v>
      </c>
      <c r="K97">
        <v>1</v>
      </c>
      <c r="L97">
        <v>1</v>
      </c>
      <c r="M97">
        <v>1</v>
      </c>
      <c r="N97">
        <v>1</v>
      </c>
      <c r="O97">
        <v>1</v>
      </c>
      <c r="Q97" t="s">
        <v>83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</row>
    <row r="98" spans="1:26" x14ac:dyDescent="0.55000000000000004">
      <c r="A98" t="s">
        <v>3</v>
      </c>
      <c r="B98" s="41">
        <v>1</v>
      </c>
      <c r="C98" s="41">
        <v>1</v>
      </c>
      <c r="D98">
        <v>1</v>
      </c>
      <c r="E98">
        <v>1</v>
      </c>
      <c r="F98">
        <v>1</v>
      </c>
      <c r="G98">
        <v>1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  <c r="Q98" t="s">
        <v>3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</row>
  </sheetData>
  <conditionalFormatting sqref="B4:B14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4:C14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4:D14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4:E14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:F14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4:G14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Complex Version</vt:lpstr>
      <vt:lpstr>Simple Version</vt:lpstr>
      <vt:lpstr>Results</vt:lpstr>
    </vt:vector>
  </TitlesOfParts>
  <Company>Georgia 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ISyE</dc:creator>
  <cp:lastModifiedBy>sproct</cp:lastModifiedBy>
  <dcterms:created xsi:type="dcterms:W3CDTF">2016-06-21T15:24:19Z</dcterms:created>
  <dcterms:modified xsi:type="dcterms:W3CDTF">2016-06-29T19:48:14Z</dcterms:modified>
</cp:coreProperties>
</file>